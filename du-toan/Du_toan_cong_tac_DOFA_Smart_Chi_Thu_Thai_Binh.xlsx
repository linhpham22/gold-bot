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" sheetId="1" state="visible" r:id="rId3"/>
    <sheet name="TẦNG 1" sheetId="2" state="visible" r:id="rId4"/>
    <sheet name="TẦNG 2" sheetId="3" state="visible" r:id="rId5"/>
    <sheet name="TẦNG 3" sheetId="4" state="visible" r:id="rId6"/>
    <sheet name="PHƯƠNG Á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<sst xmlns="http://schemas.openxmlformats.org/spreadsheetml/2006/main" count="540" uniqueCount="338">
  <si>
    <t xml:space="preserve">DỰ TOÁN HỆ THỐNG CÔNG TẮC THÔNG MINH DOFA SMART</t>
  </si>
  <si>
    <t xml:space="preserve">Công trình: Nội thất nhà phố 3 tầng – Chủ đầu tư: Chị Thu – Địa điểm: Thái Bình (Hồ sơ TK: PM HOME, 28/07/2026)</t>
  </si>
  <si>
    <t xml:space="preserve">Hạng mục: Công tắc cảm ứng bật/tắt đèn thông minh DOFA SMART (Zigbee) – bóc tách theo MB công tắc &amp; MB đèn trần T1, T2, T3</t>
  </si>
  <si>
    <t xml:space="preserve">A. ĐƠN GIÁ THIẾT BỊ ÁP DỤNG  (ô màu vàng = ô nhập liệu, có thể sửa – toàn bộ dự toán tự cập nhật)</t>
  </si>
  <si>
    <t xml:space="preserve">Mã</t>
  </si>
  <si>
    <t xml:space="preserve">Thiết bị</t>
  </si>
  <si>
    <t xml:space="preserve">Chuẩn kết nối</t>
  </si>
  <si>
    <t xml:space="preserve">ĐVT</t>
  </si>
  <si>
    <t xml:space="preserve">Đơn giá (VNĐ)</t>
  </si>
  <si>
    <t xml:space="preserve">Ghi chú</t>
  </si>
  <si>
    <t xml:space="preserve">CT1</t>
  </si>
  <si>
    <t xml:space="preserve">Công tắc cảm ứng thông minh DOFA 1 nút, mặt kính cường lực</t>
  </si>
  <si>
    <t xml:space="preserve">Zigbee 3.0</t>
  </si>
  <si>
    <t xml:space="preserve">cái</t>
  </si>
  <si>
    <t xml:space="preserve">Dự phòng khi cần tách nút</t>
  </si>
  <si>
    <t xml:space="preserve">CT2</t>
  </si>
  <si>
    <t xml:space="preserve">Công tắc cảm ứng thông minh DOFA 2 nút, mặt kính cường lực</t>
  </si>
  <si>
    <t xml:space="preserve">Tham khảo dòng vuông Zigbee</t>
  </si>
  <si>
    <t xml:space="preserve">CT3</t>
  </si>
  <si>
    <t xml:space="preserve">Công tắc cảm ứng thông minh DOFA 3 nút, mặt kính cường lực</t>
  </si>
  <si>
    <t xml:space="preserve">Giá niêm yết tham khảo ~950.000đ</t>
  </si>
  <si>
    <t xml:space="preserve">CT4</t>
  </si>
  <si>
    <t xml:space="preserve">Công tắc cảm ứng thông minh DOFA 4 nút, mặt kính cường lực</t>
  </si>
  <si>
    <t xml:space="preserve">Giá niêm yết tham khảo 970.000–990.000đ</t>
  </si>
  <si>
    <t xml:space="preserve">HUB</t>
  </si>
  <si>
    <t xml:space="preserve">Bộ điều khiển trung tâm (Hub Zigbee) DOFA SMART</t>
  </si>
  <si>
    <t xml:space="preserve">Zigbee/Wifi/LAN</t>
  </si>
  <si>
    <t xml:space="preserve">bộ</t>
  </si>
  <si>
    <t xml:space="preserve">Bắt buộc cho hệ Zigbee, đặt tại tầng 2</t>
  </si>
  <si>
    <t xml:space="preserve">BNL</t>
  </si>
  <si>
    <t xml:space="preserve">Công tắc bình nóng lạnh cảm ứng wifi 20A DOFA (tùy chọn)</t>
  </si>
  <si>
    <t xml:space="preserve">Wifi 2.4GHz</t>
  </si>
  <si>
    <t xml:space="preserve">Không cộng vào tổng – xem sheet PHƯƠNG ÁN</t>
  </si>
  <si>
    <t xml:space="preserve">NC</t>
  </si>
  <si>
    <t xml:space="preserve">Công tắc điều khiển ngữ cảnh DOFA (tùy chọn)</t>
  </si>
  <si>
    <t xml:space="preserve">Nguồn giá: niêm yết tham khảo của DOFA SMART (dofa.vn) và đại lý tại thời điểm 09/2026, chưa gồm VAT. Đề nghị lấy báo giá chính thức từ đại lý DOFA trước khi ký hợp đồng.</t>
  </si>
  <si>
    <t xml:space="preserve">B. SỐ LƯỢNG CÔNG TẮC THEO TẦNG VÀ LOẠI</t>
  </si>
  <si>
    <t xml:space="preserve">Khu vực</t>
  </si>
  <si>
    <t xml:space="preserve">1 nút</t>
  </si>
  <si>
    <t xml:space="preserve">2 nút</t>
  </si>
  <si>
    <t xml:space="preserve">3 nút</t>
  </si>
  <si>
    <t xml:space="preserve">4 nút</t>
  </si>
  <si>
    <t xml:space="preserve">Tổng (cái)</t>
  </si>
  <si>
    <t xml:space="preserve">TẦNG 1</t>
  </si>
  <si>
    <t xml:space="preserve">TẦNG 2</t>
  </si>
  <si>
    <t xml:space="preserve">TẦNG 3</t>
  </si>
  <si>
    <t xml:space="preserve">TỔNG CỘNG</t>
  </si>
  <si>
    <t xml:space="preserve">C. TỔNG HỢP KINH PHÍ ĐẦU TƯ</t>
  </si>
  <si>
    <t xml:space="preserve">STT</t>
  </si>
  <si>
    <t xml:space="preserve">Nội dung</t>
  </si>
  <si>
    <t xml:space="preserve">Thành tiền (VNĐ)</t>
  </si>
  <si>
    <t xml:space="preserve">Tỷ trọng</t>
  </si>
  <si>
    <t xml:space="preserve">Thiết bị công tắc thông minh TẦNG 1</t>
  </si>
  <si>
    <t xml:space="preserve">Chi tiết tại sheet TẦNG 1</t>
  </si>
  <si>
    <t xml:space="preserve">Thiết bị công tắc thông minh TẦNG 2</t>
  </si>
  <si>
    <t xml:space="preserve">Chi tiết tại sheet TẦNG 2</t>
  </si>
  <si>
    <t xml:space="preserve">Thiết bị công tắc thông minh TẦNG 3</t>
  </si>
  <si>
    <t xml:space="preserve">Chi tiết tại sheet TẦNG 3</t>
  </si>
  <si>
    <t xml:space="preserve">Bộ điều khiển trung tâm Hub Zigbee DOFA (1 bộ)</t>
  </si>
  <si>
    <t xml:space="preserve">Đặt tầng 2, gần vị trí wifi để trần</t>
  </si>
  <si>
    <t xml:space="preserve">Nhân công lắp đặt, đấu nối, cài đặt app (100.000đ/vị trí)</t>
  </si>
  <si>
    <t xml:space="preserve">Theo tổng số công tắc tại bảng B</t>
  </si>
  <si>
    <t xml:space="preserve">Cấu hình ngữ cảnh, ghép nhóm đảo chiều, bàn giao hướng dẫn</t>
  </si>
  <si>
    <t xml:space="preserve">Trọn gói toàn nhà</t>
  </si>
  <si>
    <t xml:space="preserve">Dự phòng phát sinh 5% (vật tư phụ, đế âm, vận chuyển)</t>
  </si>
  <si>
    <t xml:space="preserve">TỔNG KINH PHÍ (chưa gồm VAT)</t>
  </si>
  <si>
    <t xml:space="preserve">D. GHI CHÚ &amp; GIẢ ĐỊNH BÓC TÁCH</t>
  </si>
  <si>
    <t xml:space="preserve">1. Khối lượng bóc tách theo: MB công tắc &amp; MB đèn trần các tầng (NT-T1/T2/T3-03,04 – PM HOME 28/07/2026) và bản vẽ đèn cập nhật 04/09; nghiệm thu theo thực tế thi công.</t>
  </si>
  <si>
    <t xml:space="preserve">2. Phương án dùng công tắc cảm ứng DOFA SMART chuẩn Zigbee 3.0 + 1 Hub trung tâm: điều khiển tại chỗ, qua app DOFA trên điện thoại, giọng nói (Google/Alexa), hẹn giờ, ngữ cảnh.</t>
  </si>
  <si>
    <t xml:space="preserve">3. Các vị trí đảo chiều (2 công tắc chung mạch đèn: cầu thang, đầu giường, 2 đầu hành lang) thực hiện bằng GHÉP NHÓM KHÔNG DÂY giữa 2 công tắc thông minh – giữ nguyên hệ dây theo bản vẽ, không cần kéo thêm dây điều khiển.</t>
  </si>
  <si>
    <t xml:space="preserve">4. Quạt trần, quạt gió đa năng WC: bản vẽ ghi dùng điều khiển từ xa riêng – công tắc thông minh chỉ cấp/cắt nguồn.</t>
  </si>
  <si>
    <t xml:space="preserve">5. Đơn giá tham khảo niêm yết DOFA SMART 09/2026, chưa gồm VAT 8-10%; chưa gồm chi phí đèn, dây dẫn, đế âm bổ sung (nếu hiện trạng thiếu).</t>
  </si>
  <si>
    <t xml:space="preserve">6. Mạch LED công suất rất nhỏ có thể cần tụ bù/bộ chống nháy kèm theo công tắc cảm ứng – đã nằm trong khoản dự phòng 5%.</t>
  </si>
  <si>
    <t xml:space="preserve">7. Tùy chọn mở rộng (công tắc bình nóng lạnh, công tắc ngữ cảnh, cảm biến): xem sheet PHƯƠNG ÁN – chưa cộng vào tổng kinh phí.</t>
  </si>
  <si>
    <t xml:space="preserve">CHI TIẾT DỰ TOÁN CÔNG TẮC DOFA SMART – TẦNG 1</t>
  </si>
  <si>
    <t xml:space="preserve">Căn cứ: MB công tắc tầng 1 (NT-T1-04) + MB đèn trần tầng 1 (NT-T1-03) + bản vẽ đèn cập nhật 04/09</t>
  </si>
  <si>
    <t xml:space="preserve">1. VỊ TRÍ LẮP ĐẶT CÔNG TẮC THÔNG MINH – TẦNG 1</t>
  </si>
  <si>
    <t xml:space="preserve">Vị trí lắp đặt</t>
  </si>
  <si>
    <t xml:space="preserve">Các nút điều khiển (mạch đèn theo bản vẽ)</t>
  </si>
  <si>
    <t xml:space="preserve">Thiết bị DOFA đề xuất</t>
  </si>
  <si>
    <t xml:space="preserve">Số nút</t>
  </si>
  <si>
    <t xml:space="preserve">SL</t>
  </si>
  <si>
    <t xml:space="preserve">Bên phải cửa chính</t>
  </si>
  <si>
    <t xml:space="preserve">P.Khách</t>
  </si>
  <si>
    <t xml:space="preserve">N1: Downlight Φ95 P.Khách (M1) • N2: LED hắt kệ TiVi + tủ trang trí (M2) • N3: Đèn rọi 3K khu sofa (M3) • N4: Đèn hắt tường mặt tiền (M3A)</t>
  </si>
  <si>
    <t xml:space="preserve">Công tắc cảm ứng Zigbee 4 nút, mặt kính</t>
  </si>
  <si>
    <t xml:space="preserve">Cặp đảo chiều không dây với CT số 2</t>
  </si>
  <si>
    <t xml:space="preserve">Vách cầu thang – phía P.Khách</t>
  </si>
  <si>
    <t xml:space="preserve">N1–N4: như CT số 1 (M1, M2, M3, M3A)</t>
  </si>
  <si>
    <t xml:space="preserve">Đảo chiều không dây (ghép nhóm qua app, không cần kéo dây)</t>
  </si>
  <si>
    <t xml:space="preserve">Vách cầu thang – phía bếp</t>
  </si>
  <si>
    <t xml:space="preserve">Bếp + Bàn ăn</t>
  </si>
  <si>
    <t xml:space="preserve">N1: Downlight Φ95 bếp/bàn ăn (M4) • N2: Đèn thả bàn ăn 3K (M5) • N3: Nguồn quạt trần (M6) • N4: Đèn cầu thang T1–T2 (M6A)</t>
  </si>
  <si>
    <t xml:space="preserve">Quạt trần điều khiển bằng remote riêng theo bản vẽ</t>
  </si>
  <si>
    <t xml:space="preserve">Cạnh cửa WC 01</t>
  </si>
  <si>
    <t xml:space="preserve">WC 01</t>
  </si>
  <si>
    <t xml:space="preserve">N1: Downlight Φ75 (M7) • N2: LED gương (M8) • N3: Đèn khu tắm (M8A)</t>
  </si>
  <si>
    <t xml:space="preserve">Công tắc cảm ứng Zigbee 3 nút, mặt kính</t>
  </si>
  <si>
    <t xml:space="preserve">Quạt gió đa năng dùng điều khiển riêng theo bản vẽ</t>
  </si>
  <si>
    <t xml:space="preserve">Cạnh cửa P.Ngủ 1</t>
  </si>
  <si>
    <t xml:space="preserve">P.Ngủ 1</t>
  </si>
  <si>
    <t xml:space="preserve">N1: Downlight Φ75 (M9) • N2: Đèn ray/rọi (M10) • N3: LED trang trí (M10A)</t>
  </si>
  <si>
    <t xml:space="preserve">Cặp đảo chiều với CT đầu giường</t>
  </si>
  <si>
    <t xml:space="preserve">Đầu giường P.Ngủ 1 (+500)</t>
  </si>
  <si>
    <t xml:space="preserve">N1–N3: như CT số 5 (M9, M10, M10A)</t>
  </si>
  <si>
    <t xml:space="preserve">Đảo chiều không dây – tắt toàn phòng tại giường</t>
  </si>
  <si>
    <t xml:space="preserve">CỘNG THIẾT BỊ TẦNG 1</t>
  </si>
  <si>
    <t xml:space="preserve">2. BẢNG BÓC TÁCH MẠCH ĐÈN THAM CHIẾU – TẦNG 1  (số lượng bóc theo bản vẽ, nghiệm thu theo thực tế)</t>
  </si>
  <si>
    <t xml:space="preserve">Mạch</t>
  </si>
  <si>
    <t xml:space="preserve">Loại đèn / tải điều khiển</t>
  </si>
  <si>
    <t xml:space="preserve">Điều khiển bởi nút / công tắc</t>
  </si>
  <si>
    <t xml:space="preserve">M1</t>
  </si>
  <si>
    <t xml:space="preserve">Đèn downlight Φ95</t>
  </si>
  <si>
    <t xml:space="preserve">Nút 1 – CT số 1 &amp; 2</t>
  </si>
  <si>
    <t xml:space="preserve">M2</t>
  </si>
  <si>
    <t xml:space="preserve">LED dây hắt kệ TiVi + tủ trang trí</t>
  </si>
  <si>
    <t xml:space="preserve">md</t>
  </si>
  <si>
    <t xml:space="preserve">Nút 2 – CT số 1 &amp; 2</t>
  </si>
  <si>
    <t xml:space="preserve">Chiều dài tạm tính</t>
  </si>
  <si>
    <t xml:space="preserve">M3</t>
  </si>
  <si>
    <t xml:space="preserve">Đèn rọi Φ75 ánh sáng 3K khu sofa</t>
  </si>
  <si>
    <t xml:space="preserve">Nút 3 – CT số 1 &amp; 2</t>
  </si>
  <si>
    <t xml:space="preserve">M3A</t>
  </si>
  <si>
    <t xml:space="preserve">Mặt tiền/lô gia</t>
  </si>
  <si>
    <t xml:space="preserve">Đèn hắt tường trang trí</t>
  </si>
  <si>
    <t xml:space="preserve">Nút 4 – CT số 1 &amp; 2</t>
  </si>
  <si>
    <t xml:space="preserve">M4</t>
  </si>
  <si>
    <t xml:space="preserve">Downlight Φ95 (6) + rọi Φ75 (2)</t>
  </si>
  <si>
    <t xml:space="preserve">Nút 1 – CT số 3</t>
  </si>
  <si>
    <t xml:space="preserve">M5</t>
  </si>
  <si>
    <t xml:space="preserve">Bàn ăn</t>
  </si>
  <si>
    <t xml:space="preserve">Đèn thả trần 3K trên bàn ăn</t>
  </si>
  <si>
    <t xml:space="preserve">Nút 2 – CT số 3</t>
  </si>
  <si>
    <t xml:space="preserve">M6</t>
  </si>
  <si>
    <t xml:space="preserve">P.Khách + Bàn ăn</t>
  </si>
  <si>
    <t xml:space="preserve">Quạt trần (cấp nguồn)</t>
  </si>
  <si>
    <t xml:space="preserve">Nút 3 – CT số 3</t>
  </si>
  <si>
    <t xml:space="preserve">Tốc độ/đèn quạt dùng remote</t>
  </si>
  <si>
    <t xml:space="preserve">M6A</t>
  </si>
  <si>
    <t xml:space="preserve">Cầu thang T1–T2</t>
  </si>
  <si>
    <t xml:space="preserve">Đèn âm bậc/gắn tường cầu thang (+1800)</t>
  </si>
  <si>
    <t xml:space="preserve">Nút 4 – CT số 3</t>
  </si>
  <si>
    <t xml:space="preserve">M7</t>
  </si>
  <si>
    <t xml:space="preserve">Downlight Φ75</t>
  </si>
  <si>
    <t xml:space="preserve">Nút 1 – CT số 4</t>
  </si>
  <si>
    <t xml:space="preserve">M8</t>
  </si>
  <si>
    <t xml:space="preserve">LED gương lavabo</t>
  </si>
  <si>
    <t xml:space="preserve">Nút 2 – CT số 4</t>
  </si>
  <si>
    <t xml:space="preserve">M8A</t>
  </si>
  <si>
    <t xml:space="preserve">Đèn khu tắm</t>
  </si>
  <si>
    <t xml:space="preserve">Nút 3 – CT số 4</t>
  </si>
  <si>
    <t xml:space="preserve">M9</t>
  </si>
  <si>
    <t xml:space="preserve">Nút 1 – CT số 5 &amp; 6</t>
  </si>
  <si>
    <t xml:space="preserve">M10</t>
  </si>
  <si>
    <t xml:space="preserve">Đèn ray/rọi đầu giường</t>
  </si>
  <si>
    <t xml:space="preserve">Nút 2 – CT số 5 &amp; 6</t>
  </si>
  <si>
    <t xml:space="preserve">M10A</t>
  </si>
  <si>
    <t xml:space="preserve">LED trang trí/khe rèm</t>
  </si>
  <si>
    <t xml:space="preserve">Nút 3 – CT số 5 &amp; 6</t>
  </si>
  <si>
    <t xml:space="preserve">M11</t>
  </si>
  <si>
    <t xml:space="preserve">Gầm cầu thang/bếp</t>
  </si>
  <si>
    <t xml:space="preserve">Đèn tuýt LED bổ sung gầm cầu thang</t>
  </si>
  <si>
    <t xml:space="preserve">Công tắc tại chỗ (giữ nguyên)</t>
  </si>
  <si>
    <t xml:space="preserve">Ngoài phạm vi smart, có thể bổ sung</t>
  </si>
  <si>
    <t xml:space="preserve">CHI TIẾT DỰ TOÁN CÔNG TẮC DOFA SMART – TẦNG 2</t>
  </si>
  <si>
    <t xml:space="preserve">Căn cứ: MB công tắc tầng 2 (NT-T2-04) + MB đèn trần tầng 2 (NT-T2-03) + bản vẽ đèn cập nhật 04/09</t>
  </si>
  <si>
    <t xml:space="preserve">1. VỊ TRÍ LẮP ĐẶT CÔNG TẮC THÔNG MINH – TẦNG 2</t>
  </si>
  <si>
    <t xml:space="preserve">Cạnh cửa WC 02</t>
  </si>
  <si>
    <t xml:space="preserve">WC 02</t>
  </si>
  <si>
    <t xml:space="preserve">N1: Downlight Φ75 (M13) • N2: LED gương (M13A)</t>
  </si>
  <si>
    <t xml:space="preserve">Công tắc cảm ứng Zigbee 2 nút, mặt kính</t>
  </si>
  <si>
    <t xml:space="preserve">Quạt gió đa năng dùng điều khiển riêng</t>
  </si>
  <si>
    <t xml:space="preserve">Cửa khu giặt phơi</t>
  </si>
  <si>
    <t xml:space="preserve">Khu giặt phơi</t>
  </si>
  <si>
    <t xml:space="preserve">N1: Đèn tuýt LED khu giặt (M13B) • N2: Đèn tuýt LED khu phơi (M13C)</t>
  </si>
  <si>
    <t xml:space="preserve">Hành lang – đầu cầu thang</t>
  </si>
  <si>
    <t xml:space="preserve">Hành lang T2</t>
  </si>
  <si>
    <t xml:space="preserve">N1: Downlight Φ75 hành lang (M12) • N2: Đèn rọi tranh (M12B)</t>
  </si>
  <si>
    <t xml:space="preserve">Cặp đảo chiều với CT số 4</t>
  </si>
  <si>
    <t xml:space="preserve">Hành lang – cuối, gần P.Ngủ Master</t>
  </si>
  <si>
    <t xml:space="preserve">N1–N2: như CT số 3 (M12, M12B)</t>
  </si>
  <si>
    <t xml:space="preserve">Đảo chiều không dây</t>
  </si>
  <si>
    <t xml:space="preserve">Cạnh cửa P.Ngủ 2</t>
  </si>
  <si>
    <t xml:space="preserve">P.Ngủ 2</t>
  </si>
  <si>
    <t xml:space="preserve">N1: Downlight Φ75 (M14) • N2: LED khe rèm/giật cấp (M15) • N3: Đèn rọi 3K Φ55 đầu giường (M16) • N4: Đèn rọi tranh (M16A)</t>
  </si>
  <si>
    <t xml:space="preserve">Đầu giường P.Ngủ 2</t>
  </si>
  <si>
    <t xml:space="preserve">N1: M14 • N2: M15 • N3: M16</t>
  </si>
  <si>
    <t xml:space="preserve">Cạnh cửa P.Ngủ Master</t>
  </si>
  <si>
    <t xml:space="preserve">P.Ngủ Master</t>
  </si>
  <si>
    <t xml:space="preserve">N1: Downlight Φ75 (M17) • N2: LED giật cấp (M18) • N3: Đèn rọi 3K Φ55 (M19) • N4: Đèn thả đầu giường + đèn hắt lô gia (M19A)</t>
  </si>
  <si>
    <t xml:space="preserve">Đầu giường P.Ngủ Master (+550)</t>
  </si>
  <si>
    <t xml:space="preserve">N1–N4: như CT số 7 (M17, M18, M19, M19A)</t>
  </si>
  <si>
    <t xml:space="preserve">Khu bàn phấn / chân thang lên T3</t>
  </si>
  <si>
    <t xml:space="preserve">Sảnh Master</t>
  </si>
  <si>
    <t xml:space="preserve">N1: Đèn cầu thang T2–T3 (M19B) • N2: Đèn bàn phấn (M19C)</t>
  </si>
  <si>
    <t xml:space="preserve">M19B ghép đảo chiều với CT tầng 3</t>
  </si>
  <si>
    <t xml:space="preserve">Cạnh cửa WC 03</t>
  </si>
  <si>
    <t xml:space="preserve">WC 03</t>
  </si>
  <si>
    <t xml:space="preserve">N1: Downlight Φ75 (M20) • N2: Đèn khu tắm (M20A) • N3: LED gương (M20B)</t>
  </si>
  <si>
    <t xml:space="preserve">CỘNG THIẾT BỊ TẦNG 2</t>
  </si>
  <si>
    <t xml:space="preserve">2. BẢNG BÓC TÁCH MẠCH ĐÈN THAM CHIẾU – TẦNG 2  (số lượng bóc theo bản vẽ, nghiệm thu theo thực tế)</t>
  </si>
  <si>
    <t xml:space="preserve">M12</t>
  </si>
  <si>
    <t xml:space="preserve">Nút 1 – CT số 3 &amp; 4</t>
  </si>
  <si>
    <t xml:space="preserve">M12B</t>
  </si>
  <si>
    <t xml:space="preserve">Đèn rọi tranh Φ75</t>
  </si>
  <si>
    <t xml:space="preserve">Nút 2 – CT số 3 &amp; 4</t>
  </si>
  <si>
    <t xml:space="preserve">M13</t>
  </si>
  <si>
    <t xml:space="preserve">Nút 1 – CT số 1</t>
  </si>
  <si>
    <t xml:space="preserve">M13A</t>
  </si>
  <si>
    <t xml:space="preserve">Nút 2 – CT số 1</t>
  </si>
  <si>
    <t xml:space="preserve">M13B</t>
  </si>
  <si>
    <t xml:space="preserve">Khu giặt</t>
  </si>
  <si>
    <t xml:space="preserve">Đèn tuýt LED</t>
  </si>
  <si>
    <t xml:space="preserve">Nút 1 – CT số 2</t>
  </si>
  <si>
    <t xml:space="preserve">M13C</t>
  </si>
  <si>
    <t xml:space="preserve">Khu phơi</t>
  </si>
  <si>
    <t xml:space="preserve">Nút 2 – CT số 2</t>
  </si>
  <si>
    <t xml:space="preserve">M14</t>
  </si>
  <si>
    <t xml:space="preserve">M15</t>
  </si>
  <si>
    <t xml:space="preserve">LED khe rèm/trần giật cấp</t>
  </si>
  <si>
    <t xml:space="preserve">hệ</t>
  </si>
  <si>
    <t xml:space="preserve">M16</t>
  </si>
  <si>
    <t xml:space="preserve">Đèn rọi 3K Φ55 đầu giường</t>
  </si>
  <si>
    <t xml:space="preserve">M16A</t>
  </si>
  <si>
    <t xml:space="preserve">Đèn rọi tranh</t>
  </si>
  <si>
    <t xml:space="preserve">Nút 4 – CT số 5</t>
  </si>
  <si>
    <t xml:space="preserve">M17</t>
  </si>
  <si>
    <t xml:space="preserve">Nút 1 – CT số 7 &amp; 8</t>
  </si>
  <si>
    <t xml:space="preserve">M18</t>
  </si>
  <si>
    <t xml:space="preserve">LED trần giật cấp/khe rèm</t>
  </si>
  <si>
    <t xml:space="preserve">Nút 2 – CT số 7 &amp; 8</t>
  </si>
  <si>
    <t xml:space="preserve">M19</t>
  </si>
  <si>
    <t xml:space="preserve">Đèn rọi 3K Φ55</t>
  </si>
  <si>
    <t xml:space="preserve">Nút 3 – CT số 7 &amp; 8</t>
  </si>
  <si>
    <t xml:space="preserve">M19A</t>
  </si>
  <si>
    <t xml:space="preserve">Master + lô gia</t>
  </si>
  <si>
    <t xml:space="preserve">Đèn thả đầu giường (2) + đèn hắt lô gia (3)</t>
  </si>
  <si>
    <t xml:space="preserve">Nút 4 – CT số 7 &amp; 8</t>
  </si>
  <si>
    <t xml:space="preserve">M19B</t>
  </si>
  <si>
    <t xml:space="preserve">Cầu thang T2–T3</t>
  </si>
  <si>
    <t xml:space="preserve">Đèn cầu thang (+1800)</t>
  </si>
  <si>
    <t xml:space="preserve">Nút 1 – CT số 9 (+ CT T3)</t>
  </si>
  <si>
    <t xml:space="preserve">M19C</t>
  </si>
  <si>
    <t xml:space="preserve">Bàn phấn</t>
  </si>
  <si>
    <t xml:space="preserve">Đèn bàn phấn/gương</t>
  </si>
  <si>
    <t xml:space="preserve">Nút 2 – CT số 9</t>
  </si>
  <si>
    <t xml:space="preserve">M20</t>
  </si>
  <si>
    <t xml:space="preserve">Nút 1 – CT số 10</t>
  </si>
  <si>
    <t xml:space="preserve">M20A</t>
  </si>
  <si>
    <t xml:space="preserve">Nút 2 – CT số 10</t>
  </si>
  <si>
    <t xml:space="preserve">M20B</t>
  </si>
  <si>
    <t xml:space="preserve">Nút 3 – CT số 10</t>
  </si>
  <si>
    <t xml:space="preserve">CHI TIẾT DỰ TOÁN CÔNG TẮC DOFA SMART – TẦNG 3</t>
  </si>
  <si>
    <t xml:space="preserve">Căn cứ: MB công tắc tầng 3 (NT-T3-04) + MB đèn trần tầng 3 (NT-T3-03) + bản vẽ đèn cập nhật 04/09</t>
  </si>
  <si>
    <t xml:space="preserve">1. VỊ TRÍ LẮP ĐẶT CÔNG TẮC THÔNG MINH – TẦNG 3</t>
  </si>
  <si>
    <t xml:space="preserve">Đầu cầu thang tầng 3</t>
  </si>
  <si>
    <t xml:space="preserve">Sảnh thang T3</t>
  </si>
  <si>
    <t xml:space="preserve">N1: Downlight Φ75 sảnh (M21) • N2: Đèn rọi (M21A) • N3: Đèn cầu thang T2–T3 (M19B – đảo chiều)</t>
  </si>
  <si>
    <t xml:space="preserve">Gộp 2 vị trí (21,21A)+(19B) trên bản vẽ vào 1 mặt 3 nút</t>
  </si>
  <si>
    <t xml:space="preserve">Cạnh cửa Phòng thờ</t>
  </si>
  <si>
    <t xml:space="preserve">Phòng thờ</t>
  </si>
  <si>
    <t xml:space="preserve">N1: Downlight khu bàn thờ (M22) • N2: Downlight khu vực chung (M23)</t>
  </si>
  <si>
    <t xml:space="preserve">Đèn tuýt hắt bàn thờ đấu chung mạch M22</t>
  </si>
  <si>
    <t xml:space="preserve">Cạnh cửa P.Ngủ 3</t>
  </si>
  <si>
    <t xml:space="preserve">P.Ngủ 3</t>
  </si>
  <si>
    <t xml:space="preserve">N1: Downlight Φ75 (M26) • N2: Downlight khu phụ (M26A) • N3: Đèn sân chơi trước phòng (M27)</t>
  </si>
  <si>
    <t xml:space="preserve">Cửa ra sân chơi lớn</t>
  </si>
  <si>
    <t xml:space="preserve">Sân chơi BBQ</t>
  </si>
  <si>
    <t xml:space="preserve">N1: Đèn tuýt cửa sân (M24) • N2: Đèn tường sân +1m8 (M25) • N3: Đèn thả/trang trí bàn BBQ (M25A)</t>
  </si>
  <si>
    <t xml:space="preserve">Chọn loại chống ẩm vị trí gần cửa ra sân</t>
  </si>
  <si>
    <t xml:space="preserve">CỘNG THIẾT BỊ TẦNG 3</t>
  </si>
  <si>
    <t xml:space="preserve">2. BẢNG BÓC TÁCH MẠCH ĐÈN THAM CHIẾU – TẦNG 3  (số lượng bóc theo bản vẽ, nghiệm thu theo thực tế)</t>
  </si>
  <si>
    <t xml:space="preserve">M21</t>
  </si>
  <si>
    <t xml:space="preserve">M21A</t>
  </si>
  <si>
    <t xml:space="preserve">Đèn rọi Φ75</t>
  </si>
  <si>
    <t xml:space="preserve">Đèn cầu thang (đảo chiều với T2)</t>
  </si>
  <si>
    <t xml:space="preserve">Nút 3 – CT số 1</t>
  </si>
  <si>
    <t xml:space="preserve">Đã tính đèn ở bảng tầng 2</t>
  </si>
  <si>
    <t xml:space="preserve">M22</t>
  </si>
  <si>
    <t xml:space="preserve">Downlight Φ75 khu bàn thờ + tuýt hắt</t>
  </si>
  <si>
    <t xml:space="preserve">M23</t>
  </si>
  <si>
    <t xml:space="preserve">M24</t>
  </si>
  <si>
    <t xml:space="preserve">Sân chơi</t>
  </si>
  <si>
    <t xml:space="preserve">Đèn tuýt LED cửa ra sân</t>
  </si>
  <si>
    <t xml:space="preserve">M25</t>
  </si>
  <si>
    <t xml:space="preserve">Đèn gắn tường ngoài trời (+1800)</t>
  </si>
  <si>
    <t xml:space="preserve">Đèn ngoài trời IP65</t>
  </si>
  <si>
    <t xml:space="preserve">M25A</t>
  </si>
  <si>
    <t xml:space="preserve">Đèn thả/trang trí bàn BBQ + ghế băng</t>
  </si>
  <si>
    <t xml:space="preserve">M26</t>
  </si>
  <si>
    <t xml:space="preserve">M26A</t>
  </si>
  <si>
    <t xml:space="preserve">Downlight Φ75 khu phụ</t>
  </si>
  <si>
    <t xml:space="preserve">M27</t>
  </si>
  <si>
    <t xml:space="preserve">Sân chơi nhỏ</t>
  </si>
  <si>
    <t xml:space="preserve">Đèn sân trước P.Ngủ 3</t>
  </si>
  <si>
    <t xml:space="preserve">PHƯƠNG ÁN KỸ THUẬT – HỆ CÔNG TẮC THÔNG MINH DOFA SMART</t>
  </si>
  <si>
    <t xml:space="preserve">1. NGUYÊN LÝ HỆ THỐNG</t>
  </si>
  <si>
    <t xml:space="preserve">•</t>
  </si>
  <si>
    <t xml:space="preserve">Thay toàn bộ công tắc cơ tại đúng vị trí bản vẽ bằng công tắc cảm ứng DOFA SMART mặt kính, chuẩn Zigbee 3.0. Tổng 20 công tắc / 3 tầng, giữ nguyên sơ đồ mạch đèn hiện có.</t>
  </si>
  <si>
    <t xml:space="preserve">Hub trung tâm</t>
  </si>
  <si>
    <t xml:space="preserve">01 Hub Zigbee đặt tại tầng 2 (khu vực có chờ 'WIFI để trần' theo bản vẽ NT-T2-04) – phủ sóng đều 3 tầng, kết nối internet qua wifi/LAN.</t>
  </si>
  <si>
    <t xml:space="preserve">Các cặp công tắc chung mạch (2 đầu P.Khách, 2 đầu hành lang T2, cửa + đầu giường các phòng ngủ, cầu thang T2–T3) ghép nhóm trên app – bật/tắt đồng bộ 2 đầu, không cần dây đảo chiều.</t>
  </si>
  <si>
    <t xml:space="preserve">Điều khiển</t>
  </si>
  <si>
    <t xml:space="preserve">Tại chỗ (chạm), app DOFA Smart từ xa, giọng nói tiếng Việt (Google Assistant/Alexa), hẹn giờ tự động, ngữ cảnh một chạm.</t>
  </si>
  <si>
    <t xml:space="preserve">Yêu cầu lắp đặt</t>
  </si>
  <si>
    <t xml:space="preserve">Đế âm tiêu chuẩn; khuyến nghị có dây trung tính (N) tại hộp công tắc – xác nhận cùng đội điện trước khi đặt hàng; mạch LED nhỏ lắp kèm tụ bù chống nháy.</t>
  </si>
  <si>
    <t xml:space="preserve">2. NGỮ CẢNH THÔNG MINH ĐỀ XUẤT (cài đặt sẵn khi bàn giao)</t>
  </si>
  <si>
    <t xml:space="preserve">Ngữ cảnh</t>
  </si>
  <si>
    <t xml:space="preserve">Hoạt động</t>
  </si>
  <si>
    <t xml:space="preserve">Kích hoạt</t>
  </si>
  <si>
    <t xml:space="preserve">Về nhà</t>
  </si>
  <si>
    <t xml:space="preserve">Bật đèn P.Khách (M1) + LED kệ TiVi (M2) + đèn mặt tiền (M3A)</t>
  </si>
  <si>
    <t xml:space="preserve">App / giọng nói / một chạm</t>
  </si>
  <si>
    <t xml:space="preserve">Tiếp khách</t>
  </si>
  <si>
    <t xml:space="preserve">Bật 100% đèn P.Khách + bếp/bàn ăn (M1, M3, M4, M5)</t>
  </si>
  <si>
    <t xml:space="preserve">App / giọng nói</t>
  </si>
  <si>
    <t xml:space="preserve">Ăn tối</t>
  </si>
  <si>
    <t xml:space="preserve">Chỉ bật đèn thả bàn ăn (M5) + LED kệ (M2), tắt downlight chính</t>
  </si>
  <si>
    <t xml:space="preserve">Đi ngủ</t>
  </si>
  <si>
    <t xml:space="preserve">Tắt toàn bộ đèn tầng 1 + hành lang, giữ đèn cầu thang 15 phút rồi tự tắt</t>
  </si>
  <si>
    <t xml:space="preserve">Chạm tại đầu giường</t>
  </si>
  <si>
    <t xml:space="preserve">Ra khỏi nhà</t>
  </si>
  <si>
    <t xml:space="preserve">Tắt toàn bộ đèn 3 tầng bằng 1 lệnh</t>
  </si>
  <si>
    <t xml:space="preserve">Thờ cúng</t>
  </si>
  <si>
    <t xml:space="preserve">Bật đèn phòng thờ (M22, M23) theo giờ mùng 1, ngày rằm (hẹn giờ)</t>
  </si>
  <si>
    <t xml:space="preserve">Tự động / app</t>
  </si>
  <si>
    <t xml:space="preserve">Tiệc BBQ</t>
  </si>
  <si>
    <t xml:space="preserve">Bật đèn sân chơi T3 (M24, M25, M25A)</t>
  </si>
  <si>
    <t xml:space="preserve">Đèn mặt tiền tự động</t>
  </si>
  <si>
    <t xml:space="preserve">M3A + đèn lô gia bật 18h00 – tắt 23h00 hằng ngày</t>
  </si>
  <si>
    <t xml:space="preserve">Hẹn giờ tự động</t>
  </si>
  <si>
    <t xml:space="preserve">3. TÙY CHỌN MỞ RỘNG (chưa cộng vào tổng dự toán – sửa SL ô vàng nếu muốn thêm)</t>
  </si>
  <si>
    <t xml:space="preserve">Vị trí đề xuất</t>
  </si>
  <si>
    <t xml:space="preserve">Công tắc bình nóng lạnh cảm ứng wifi 20A DOFA</t>
  </si>
  <si>
    <t xml:space="preserve">WC 01, WC 02, WC 03</t>
  </si>
  <si>
    <t xml:space="preserve">Công tắc điều khiển ngữ cảnh DOFA (một chạm)</t>
  </si>
  <si>
    <t xml:space="preserve">Đầu giường Master, cửa chính</t>
  </si>
  <si>
    <t xml:space="preserve">CỘNG TÙY CHỌN MỞ RỘNG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</si>
</sst>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7F7F7F"/>
        <bgColor rgb="FF878787"/>
      </patternFill>
    </fill>
    <fill>
      <patternFill patternType="solid">
        <fgColor rgb="FFF2F2F2"/>
        <bgColor rgb="FFF9F9F9"/>
      </patternFill>
    </fill>
    <fill>
      <patternFill patternType="solid">
        <fgColor rgb="FF548235"/>
        <bgColor rgb="FF595959"/>
      </patternFill>
    </fill>
    <fill>
      <patternFill patternType="solid">
        <fgColor rgb="FF70AD47"/>
        <bgColor rgb="FF54823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CE4D6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 phí thiết bị công tắc theo tầng (VNĐ)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HỢP'!$B$25:$B$27</c:f>
              <c:strCache>
                <c:ptCount val="3"/>
                <c:pt idx="0">
                  <c:v>Thiết bị công tắc thông minh TẦNG 1</c:v>
                </c:pt>
                <c:pt idx="1">
                  <c:v>Thiết bị công tắc thông minh TẦNG 2</c:v>
                </c:pt>
                <c:pt idx="2">
                  <c:v>Thiết bị công tắc thông minh TẦNG 3</c:v>
                </c:pt>
              </c:strCache>
            </c:strRef>
          </c:cat>
          <c:val>
            <c:numRef>
              <c:f>'TỔNG HỢP'!$F$25:$F$27</c:f>
              <c:numCache>
                <c:formatCode>#,##0</c:formatCode>
                <c:ptCount val="3"/>
                <c:pt idx="0">
                  <c:v>5820000</c:v>
                </c:pt>
                <c:pt idx="1">
                  <c:v>9520000</c:v>
                </c:pt>
                <c:pt idx="2">
                  <c:v>3780000</c:v>
                </c:pt>
              </c:numCache>
            </c:numRef>
          </c:val>
        </c:ser>
        <c:gapWidth val="150"/>
        <c:overlap val="0"/>
        <c:axId val="61706594"/>
        <c:axId val="10258637"/>
      </c:barChart>
      <c:catAx>
        <c:axId val="617065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58637"/>
        <c:crosses val="autoZero"/>
        <c:auto val="1"/>
        <c:lblAlgn val="ctr"/>
        <c:lblOffset val="100"/>
        <c:noMultiLvlLbl val="0"/>
      </c:catAx>
      <c:valAx>
        <c:axId val="10258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VNĐ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065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42</xdr:row>
      <xdr:rowOff>0</xdr:rowOff>
    </xdr:from>
    <xdr:to>
      <xdr:col>2</xdr:col>
      <xdr:colOff>768240</xdr:colOff>
      <xdr:row>55</xdr:row>
      <xdr:rowOff>43200</xdr:rowOff>
    </xdr:to>
    <xdr:graphicFrame>
      <xdr:nvGraphicFramePr>
        <xdr:cNvPr id="0" name="Chart 1"/>
        <xdr:cNvGraphicFramePr/>
      </xdr:nvGraphicFramePr>
      <xdr:xfrm>
        <a:off x="533520" y="97632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5" customFormat="false" ht="19.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27.7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/>
      <c r="F6" s="4" t="s">
        <v>8</v>
      </c>
      <c r="G6" s="4"/>
      <c r="H6" s="4" t="s">
        <v>9</v>
      </c>
    </row>
    <row r="7" customFormat="false" ht="15" hidden="false" customHeight="false" outlineLevel="0" collapsed="false">
      <c r="A7" s="5" t="s">
        <v>10</v>
      </c>
      <c r="B7" s="6" t="s">
        <v>11</v>
      </c>
      <c r="C7" s="7" t="s">
        <v>12</v>
      </c>
      <c r="D7" s="7" t="s">
        <v>13</v>
      </c>
      <c r="F7" s="8" t="n">
        <v>900000</v>
      </c>
      <c r="H7" s="9" t="s">
        <v>14</v>
      </c>
    </row>
    <row r="8" customFormat="false" ht="15" hidden="false" customHeight="false" outlineLevel="0" collapsed="false">
      <c r="A8" s="5" t="s">
        <v>15</v>
      </c>
      <c r="B8" s="6" t="s">
        <v>16</v>
      </c>
      <c r="C8" s="7" t="s">
        <v>12</v>
      </c>
      <c r="D8" s="7" t="s">
        <v>13</v>
      </c>
      <c r="F8" s="8" t="n">
        <v>930000</v>
      </c>
      <c r="H8" s="9" t="s">
        <v>17</v>
      </c>
    </row>
    <row r="9" customFormat="false" ht="15" hidden="false" customHeight="false" outlineLevel="0" collapsed="false">
      <c r="A9" s="5" t="s">
        <v>18</v>
      </c>
      <c r="B9" s="6" t="s">
        <v>19</v>
      </c>
      <c r="C9" s="7" t="s">
        <v>12</v>
      </c>
      <c r="D9" s="7" t="s">
        <v>13</v>
      </c>
      <c r="F9" s="8" t="n">
        <v>950000</v>
      </c>
      <c r="H9" s="9" t="s">
        <v>20</v>
      </c>
    </row>
    <row r="10" customFormat="false" ht="15" hidden="false" customHeight="false" outlineLevel="0" collapsed="false">
      <c r="A10" s="5" t="s">
        <v>21</v>
      </c>
      <c r="B10" s="6" t="s">
        <v>22</v>
      </c>
      <c r="C10" s="7" t="s">
        <v>12</v>
      </c>
      <c r="D10" s="7" t="s">
        <v>13</v>
      </c>
      <c r="F10" s="8" t="n">
        <v>990000</v>
      </c>
      <c r="H10" s="9" t="s">
        <v>23</v>
      </c>
    </row>
    <row r="11" customFormat="false" ht="15" hidden="false" customHeight="false" outlineLevel="0" collapsed="false">
      <c r="A11" s="5" t="s">
        <v>24</v>
      </c>
      <c r="B11" s="6" t="s">
        <v>25</v>
      </c>
      <c r="C11" s="7" t="s">
        <v>26</v>
      </c>
      <c r="D11" s="7" t="s">
        <v>27</v>
      </c>
      <c r="F11" s="8" t="n">
        <v>1500000</v>
      </c>
      <c r="H11" s="9" t="s">
        <v>28</v>
      </c>
    </row>
    <row r="12" customFormat="false" ht="15" hidden="false" customHeight="false" outlineLevel="0" collapsed="false">
      <c r="A12" s="5" t="s">
        <v>29</v>
      </c>
      <c r="B12" s="6" t="s">
        <v>30</v>
      </c>
      <c r="C12" s="7" t="s">
        <v>31</v>
      </c>
      <c r="D12" s="7" t="s">
        <v>13</v>
      </c>
      <c r="F12" s="8" t="n">
        <v>455000</v>
      </c>
      <c r="H12" s="9" t="s">
        <v>32</v>
      </c>
    </row>
    <row r="13" customFormat="false" ht="15" hidden="false" customHeight="false" outlineLevel="0" collapsed="false">
      <c r="A13" s="5" t="s">
        <v>33</v>
      </c>
      <c r="B13" s="6" t="s">
        <v>34</v>
      </c>
      <c r="C13" s="7" t="s">
        <v>12</v>
      </c>
      <c r="D13" s="7" t="s">
        <v>13</v>
      </c>
      <c r="F13" s="8" t="n">
        <v>850000</v>
      </c>
      <c r="H13" s="9" t="s">
        <v>32</v>
      </c>
    </row>
    <row r="14" customFormat="false" ht="15" hidden="false" customHeight="false" outlineLevel="0" collapsed="false">
      <c r="A14" s="10" t="s">
        <v>35</v>
      </c>
      <c r="B14" s="10"/>
      <c r="C14" s="10"/>
      <c r="D14" s="10"/>
      <c r="E14" s="10"/>
      <c r="F14" s="10"/>
      <c r="G14" s="10"/>
      <c r="H14" s="10"/>
    </row>
    <row r="16" customFormat="false" ht="19.5" hidden="false" customHeight="true" outlineLevel="0" collapsed="false">
      <c r="A16" s="3" t="s">
        <v>36</v>
      </c>
      <c r="B16" s="3"/>
      <c r="C16" s="3"/>
      <c r="D16" s="3"/>
      <c r="E16" s="3"/>
      <c r="F16" s="3"/>
      <c r="G16" s="3"/>
      <c r="H16" s="3"/>
    </row>
    <row r="17" customFormat="false" ht="27.75" hidden="false" customHeight="true" outlineLevel="0" collapsed="false">
      <c r="A17" s="4"/>
      <c r="B17" s="4" t="s">
        <v>37</v>
      </c>
      <c r="C17" s="4" t="s">
        <v>38</v>
      </c>
      <c r="D17" s="4" t="s">
        <v>39</v>
      </c>
      <c r="E17" s="4" t="s">
        <v>40</v>
      </c>
      <c r="F17" s="4" t="s">
        <v>41</v>
      </c>
      <c r="G17" s="4" t="s">
        <v>42</v>
      </c>
      <c r="H17" s="4"/>
    </row>
    <row r="18" customFormat="false" ht="15" hidden="false" customHeight="false" outlineLevel="0" collapsed="false">
      <c r="B18" s="11" t="s">
        <v>43</v>
      </c>
      <c r="C18" s="12" t="n">
        <f aca="false">SUMIF('TẦNG 1'!$F$6:$F$11,1,'TẦNG 1'!$G$6:$G$11)</f>
        <v>0</v>
      </c>
      <c r="D18" s="12" t="n">
        <f aca="false">SUMIF('TẦNG 1'!$F$6:$F$11,2,'TẦNG 1'!$G$6:$G$11)</f>
        <v>0</v>
      </c>
      <c r="E18" s="12" t="n">
        <f aca="false">SUMIF('TẦNG 1'!$F$6:$F$11,3,'TẦNG 1'!$G$6:$G$11)</f>
        <v>3</v>
      </c>
      <c r="F18" s="12" t="n">
        <f aca="false">SUMIF('TẦNG 1'!$F$6:$F$11,4,'TẦNG 1'!$G$6:$G$11)</f>
        <v>3</v>
      </c>
      <c r="G18" s="5" t="n">
        <f aca="false">SUM(C18:F18)</f>
        <v>6</v>
      </c>
    </row>
    <row r="19" customFormat="false" ht="15" hidden="false" customHeight="false" outlineLevel="0" collapsed="false">
      <c r="B19" s="11" t="s">
        <v>44</v>
      </c>
      <c r="C19" s="12" t="n">
        <f aca="false">SUMIF('TẦNG 2'!$F$6:$F$15,1,'TẦNG 2'!$G$6:$G$15)</f>
        <v>0</v>
      </c>
      <c r="D19" s="12" t="n">
        <f aca="false">SUMIF('TẦNG 2'!$F$6:$F$15,2,'TẦNG 2'!$G$6:$G$15)</f>
        <v>5</v>
      </c>
      <c r="E19" s="12" t="n">
        <f aca="false">SUMIF('TẦNG 2'!$F$6:$F$15,3,'TẦNG 2'!$G$6:$G$15)</f>
        <v>2</v>
      </c>
      <c r="F19" s="12" t="n">
        <f aca="false">SUMIF('TẦNG 2'!$F$6:$F$15,4,'TẦNG 2'!$G$6:$G$15)</f>
        <v>3</v>
      </c>
      <c r="G19" s="5" t="n">
        <f aca="false">SUM(C19:F19)</f>
        <v>10</v>
      </c>
    </row>
    <row r="20" customFormat="false" ht="15" hidden="false" customHeight="false" outlineLevel="0" collapsed="false">
      <c r="B20" s="11" t="s">
        <v>45</v>
      </c>
      <c r="C20" s="12" t="n">
        <f aca="false">SUMIF('TẦNG 3'!$F$6:$F$9,1,'TẦNG 3'!$G$6:$G$9)</f>
        <v>0</v>
      </c>
      <c r="D20" s="12" t="n">
        <f aca="false">SUMIF('TẦNG 3'!$F$6:$F$9,2,'TẦNG 3'!$G$6:$G$9)</f>
        <v>1</v>
      </c>
      <c r="E20" s="12" t="n">
        <f aca="false">SUMIF('TẦNG 3'!$F$6:$F$9,3,'TẦNG 3'!$G$6:$G$9)</f>
        <v>3</v>
      </c>
      <c r="F20" s="12" t="n">
        <f aca="false">SUMIF('TẦNG 3'!$F$6:$F$9,4,'TẦNG 3'!$G$6:$G$9)</f>
        <v>0</v>
      </c>
      <c r="G20" s="5" t="n">
        <f aca="false">SUM(C20:F20)</f>
        <v>4</v>
      </c>
    </row>
    <row r="21" customFormat="false" ht="15" hidden="false" customHeight="false" outlineLevel="0" collapsed="false">
      <c r="B21" s="13" t="s">
        <v>46</v>
      </c>
      <c r="C21" s="14" t="n">
        <f aca="false">SUM(C18:C20)</f>
        <v>0</v>
      </c>
      <c r="D21" s="14" t="n">
        <f aca="false">SUM(D18:D20)</f>
        <v>6</v>
      </c>
      <c r="E21" s="14" t="n">
        <f aca="false">SUM(E18:E20)</f>
        <v>8</v>
      </c>
      <c r="F21" s="14" t="n">
        <f aca="false">SUM(F18:F20)</f>
        <v>6</v>
      </c>
      <c r="G21" s="14" t="n">
        <f aca="false">SUM(G18:G20)</f>
        <v>20</v>
      </c>
    </row>
    <row r="23" customFormat="false" ht="19.5" hidden="false" customHeight="true" outlineLevel="0" collapsed="false">
      <c r="A23" s="3" t="s">
        <v>47</v>
      </c>
      <c r="B23" s="3"/>
      <c r="C23" s="3"/>
      <c r="D23" s="3"/>
      <c r="E23" s="3"/>
      <c r="F23" s="3"/>
      <c r="G23" s="3"/>
      <c r="H23" s="3"/>
    </row>
    <row r="24" customFormat="false" ht="27.75" hidden="false" customHeight="true" outlineLevel="0" collapsed="false">
      <c r="A24" s="4" t="s">
        <v>48</v>
      </c>
      <c r="B24" s="4" t="s">
        <v>49</v>
      </c>
      <c r="C24" s="4"/>
      <c r="D24" s="4"/>
      <c r="E24" s="4"/>
      <c r="F24" s="4" t="s">
        <v>50</v>
      </c>
      <c r="G24" s="4" t="s">
        <v>51</v>
      </c>
      <c r="H24" s="4" t="s">
        <v>9</v>
      </c>
    </row>
    <row r="25" customFormat="false" ht="15" hidden="false" customHeight="false" outlineLevel="0" collapsed="false">
      <c r="A25" s="15" t="n">
        <v>1</v>
      </c>
      <c r="B25" s="16" t="s">
        <v>52</v>
      </c>
      <c r="C25" s="16"/>
      <c r="D25" s="16"/>
      <c r="E25" s="16"/>
      <c r="F25" s="17" t="n">
        <f aca="false">'TẦNG 1'!$I$12</f>
        <v>5820000</v>
      </c>
      <c r="G25" s="18" t="n">
        <f aca="false">F25/$F$32</f>
        <v>0.239742956005932</v>
      </c>
      <c r="H25" s="19" t="s">
        <v>53</v>
      </c>
    </row>
    <row r="26" customFormat="false" ht="15" hidden="false" customHeight="false" outlineLevel="0" collapsed="false">
      <c r="A26" s="15" t="n">
        <v>2</v>
      </c>
      <c r="B26" s="16" t="s">
        <v>54</v>
      </c>
      <c r="C26" s="16"/>
      <c r="D26" s="16"/>
      <c r="E26" s="16"/>
      <c r="F26" s="17" t="n">
        <f aca="false">'TẦNG 2'!$I$16</f>
        <v>9520000</v>
      </c>
      <c r="G26" s="18" t="n">
        <f aca="false">F26/$F$32</f>
        <v>0.392156862745098</v>
      </c>
      <c r="H26" s="19" t="s">
        <v>55</v>
      </c>
    </row>
    <row r="27" customFormat="false" ht="15" hidden="false" customHeight="false" outlineLevel="0" collapsed="false">
      <c r="A27" s="15" t="n">
        <v>3</v>
      </c>
      <c r="B27" s="16" t="s">
        <v>56</v>
      </c>
      <c r="C27" s="16"/>
      <c r="D27" s="16"/>
      <c r="E27" s="16"/>
      <c r="F27" s="17" t="n">
        <f aca="false">'TẦNG 3'!$I$10</f>
        <v>3780000</v>
      </c>
      <c r="G27" s="18" t="n">
        <f aca="false">F27/$F$32</f>
        <v>0.155709342560554</v>
      </c>
      <c r="H27" s="19" t="s">
        <v>57</v>
      </c>
    </row>
    <row r="28" customFormat="false" ht="15" hidden="false" customHeight="false" outlineLevel="0" collapsed="false">
      <c r="A28" s="15" t="n">
        <v>4</v>
      </c>
      <c r="B28" s="16" t="s">
        <v>58</v>
      </c>
      <c r="C28" s="16"/>
      <c r="D28" s="16"/>
      <c r="E28" s="16"/>
      <c r="F28" s="17" t="n">
        <f aca="false">'TỔNG HỢP'!$F$11*1</f>
        <v>1500000</v>
      </c>
      <c r="G28" s="18" t="n">
        <f aca="false">F28/$F$32</f>
        <v>0.0617894216510133</v>
      </c>
      <c r="H28" s="19" t="s">
        <v>59</v>
      </c>
    </row>
    <row r="29" customFormat="false" ht="15" hidden="false" customHeight="false" outlineLevel="0" collapsed="false">
      <c r="A29" s="15" t="n">
        <v>5</v>
      </c>
      <c r="B29" s="16" t="s">
        <v>60</v>
      </c>
      <c r="C29" s="16"/>
      <c r="D29" s="16"/>
      <c r="E29" s="16"/>
      <c r="F29" s="17" t="n">
        <f aca="false">G21*100000</f>
        <v>2000000</v>
      </c>
      <c r="G29" s="18" t="n">
        <f aca="false">F29/$F$32</f>
        <v>0.0823858955346845</v>
      </c>
      <c r="H29" s="19" t="s">
        <v>61</v>
      </c>
    </row>
    <row r="30" customFormat="false" ht="15" hidden="false" customHeight="false" outlineLevel="0" collapsed="false">
      <c r="A30" s="15" t="n">
        <v>6</v>
      </c>
      <c r="B30" s="16" t="s">
        <v>62</v>
      </c>
      <c r="C30" s="16"/>
      <c r="D30" s="16"/>
      <c r="E30" s="16"/>
      <c r="F30" s="17" t="n">
        <f aca="false">500000</f>
        <v>500000</v>
      </c>
      <c r="G30" s="18" t="n">
        <f aca="false">F30/$F$32</f>
        <v>0.0205964738836711</v>
      </c>
      <c r="H30" s="19" t="s">
        <v>63</v>
      </c>
    </row>
    <row r="31" customFormat="false" ht="15" hidden="false" customHeight="false" outlineLevel="0" collapsed="false">
      <c r="A31" s="15" t="n">
        <v>7</v>
      </c>
      <c r="B31" s="16" t="s">
        <v>64</v>
      </c>
      <c r="C31" s="16"/>
      <c r="D31" s="16"/>
      <c r="E31" s="16"/>
      <c r="F31" s="20" t="n">
        <f aca="false">ROUND(SUM(F25:F30)*5%,0)</f>
        <v>1156000</v>
      </c>
      <c r="G31" s="18" t="n">
        <f aca="false">F31/$F$32</f>
        <v>0.0476190476190476</v>
      </c>
      <c r="H31" s="21"/>
    </row>
    <row r="32" customFormat="false" ht="24" hidden="false" customHeight="true" outlineLevel="0" collapsed="false">
      <c r="A32" s="22" t="s">
        <v>65</v>
      </c>
      <c r="B32" s="22"/>
      <c r="C32" s="22"/>
      <c r="D32" s="22"/>
      <c r="E32" s="22"/>
      <c r="F32" s="23" t="n">
        <f aca="false">SUM(F25:F31)</f>
        <v>24276000</v>
      </c>
      <c r="G32" s="24"/>
      <c r="H32" s="24"/>
    </row>
    <row r="34" customFormat="false" ht="19.5" hidden="false" customHeight="true" outlineLevel="0" collapsed="false">
      <c r="A34" s="25" t="s">
        <v>66</v>
      </c>
      <c r="B34" s="25"/>
      <c r="C34" s="25"/>
      <c r="D34" s="25"/>
      <c r="E34" s="25"/>
      <c r="F34" s="25"/>
      <c r="G34" s="25"/>
      <c r="H34" s="25"/>
    </row>
    <row r="35" customFormat="false" ht="24" hidden="false" customHeight="true" outlineLevel="0" collapsed="false">
      <c r="A35" s="26" t="s">
        <v>67</v>
      </c>
      <c r="B35" s="26"/>
      <c r="C35" s="26"/>
      <c r="D35" s="26"/>
      <c r="E35" s="26"/>
      <c r="F35" s="26"/>
      <c r="G35" s="26"/>
      <c r="H35" s="26"/>
    </row>
    <row r="36" customFormat="false" ht="24" hidden="false" customHeight="true" outlineLevel="0" collapsed="false">
      <c r="A36" s="26" t="s">
        <v>68</v>
      </c>
      <c r="B36" s="26"/>
      <c r="C36" s="26"/>
      <c r="D36" s="26"/>
      <c r="E36" s="26"/>
      <c r="F36" s="26"/>
      <c r="G36" s="26"/>
      <c r="H36" s="26"/>
    </row>
    <row r="37" customFormat="false" ht="24" hidden="false" customHeight="true" outlineLevel="0" collapsed="false">
      <c r="A37" s="26" t="s">
        <v>69</v>
      </c>
      <c r="B37" s="26"/>
      <c r="C37" s="26"/>
      <c r="D37" s="26"/>
      <c r="E37" s="26"/>
      <c r="F37" s="26"/>
      <c r="G37" s="26"/>
      <c r="H37" s="26"/>
    </row>
    <row r="38" customFormat="false" ht="24" hidden="false" customHeight="true" outlineLevel="0" collapsed="false">
      <c r="A38" s="26" t="s">
        <v>70</v>
      </c>
      <c r="B38" s="26"/>
      <c r="C38" s="26"/>
      <c r="D38" s="26"/>
      <c r="E38" s="26"/>
      <c r="F38" s="26"/>
      <c r="G38" s="26"/>
      <c r="H38" s="26"/>
    </row>
    <row r="39" customFormat="false" ht="24" hidden="false" customHeight="true" outlineLevel="0" collapsed="false">
      <c r="A39" s="26" t="s">
        <v>71</v>
      </c>
      <c r="B39" s="26"/>
      <c r="C39" s="26"/>
      <c r="D39" s="26"/>
      <c r="E39" s="26"/>
      <c r="F39" s="26"/>
      <c r="G39" s="26"/>
      <c r="H39" s="26"/>
    </row>
    <row r="40" customFormat="false" ht="24" hidden="false" customHeight="true" outlineLevel="0" collapsed="false">
      <c r="A40" s="26" t="s">
        <v>72</v>
      </c>
      <c r="B40" s="26"/>
      <c r="C40" s="26"/>
      <c r="D40" s="26"/>
      <c r="E40" s="26"/>
      <c r="F40" s="26"/>
      <c r="G40" s="26"/>
      <c r="H40" s="26"/>
    </row>
    <row r="41" customFormat="false" ht="24" hidden="false" customHeight="true" outlineLevel="0" collapsed="false">
      <c r="A41" s="26" t="s">
        <v>73</v>
      </c>
      <c r="B41" s="26"/>
      <c r="C41" s="26"/>
      <c r="D41" s="26"/>
      <c r="E41" s="26"/>
      <c r="F41" s="26"/>
      <c r="G41" s="26"/>
      <c r="H41" s="26"/>
    </row>
  </sheetData>
  <mergeCells count="23">
    <mergeCell ref="A1:H1"/>
    <mergeCell ref="A2:H2"/>
    <mergeCell ref="A3:H3"/>
    <mergeCell ref="A5:H5"/>
    <mergeCell ref="A14:H14"/>
    <mergeCell ref="A16:H16"/>
    <mergeCell ref="A23:H23"/>
    <mergeCell ref="B25:E25"/>
    <mergeCell ref="B26:E26"/>
    <mergeCell ref="B27:E27"/>
    <mergeCell ref="B28:E28"/>
    <mergeCell ref="B29:E29"/>
    <mergeCell ref="B30:E30"/>
    <mergeCell ref="B31:E31"/>
    <mergeCell ref="A32:E32"/>
    <mergeCell ref="A34:H34"/>
    <mergeCell ref="A35:H35"/>
    <mergeCell ref="A36:H36"/>
    <mergeCell ref="A37:H37"/>
    <mergeCell ref="A38:H38"/>
    <mergeCell ref="A39:H39"/>
    <mergeCell ref="A40:H40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30"/>
  </cols>
  <sheetData>
    <row r="1" customFormat="false" ht="24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75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3" t="s">
        <v>76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7.75" hidden="false" customHeight="true" outlineLevel="0" collapsed="false">
      <c r="A5" s="4" t="s">
        <v>48</v>
      </c>
      <c r="B5" s="4" t="s">
        <v>77</v>
      </c>
      <c r="C5" s="4" t="s">
        <v>37</v>
      </c>
      <c r="D5" s="4" t="s">
        <v>78</v>
      </c>
      <c r="E5" s="4" t="s">
        <v>79</v>
      </c>
      <c r="F5" s="4" t="s">
        <v>80</v>
      </c>
      <c r="G5" s="4" t="s">
        <v>81</v>
      </c>
      <c r="H5" s="4" t="s">
        <v>8</v>
      </c>
      <c r="I5" s="4" t="s">
        <v>50</v>
      </c>
      <c r="J5" s="4" t="s">
        <v>9</v>
      </c>
    </row>
    <row r="6" customFormat="false" ht="39.75" hidden="false" customHeight="true" outlineLevel="0" collapsed="false">
      <c r="A6" s="7" t="n">
        <v>1</v>
      </c>
      <c r="B6" s="27" t="s">
        <v>82</v>
      </c>
      <c r="C6" s="7" t="s">
        <v>83</v>
      </c>
      <c r="D6" s="27" t="s">
        <v>84</v>
      </c>
      <c r="E6" s="27" t="s">
        <v>85</v>
      </c>
      <c r="F6" s="7" t="n">
        <v>4</v>
      </c>
      <c r="G6" s="7" t="n">
        <v>1</v>
      </c>
      <c r="H6" s="17" t="n">
        <f aca="false">'TỔNG HỢP'!$F$10</f>
        <v>990000</v>
      </c>
      <c r="I6" s="28" t="n">
        <f aca="false">G6*H6</f>
        <v>990000</v>
      </c>
      <c r="J6" s="27" t="s">
        <v>86</v>
      </c>
    </row>
    <row r="7" customFormat="false" ht="39.75" hidden="false" customHeight="true" outlineLevel="0" collapsed="false">
      <c r="A7" s="29" t="n">
        <v>2</v>
      </c>
      <c r="B7" s="30" t="s">
        <v>87</v>
      </c>
      <c r="C7" s="29" t="s">
        <v>83</v>
      </c>
      <c r="D7" s="30" t="s">
        <v>88</v>
      </c>
      <c r="E7" s="30" t="s">
        <v>85</v>
      </c>
      <c r="F7" s="29" t="n">
        <v>4</v>
      </c>
      <c r="G7" s="29" t="n">
        <v>1</v>
      </c>
      <c r="H7" s="31" t="n">
        <f aca="false">'TỔNG HỢP'!$F$10</f>
        <v>990000</v>
      </c>
      <c r="I7" s="32" t="n">
        <f aca="false">G7*H7</f>
        <v>990000</v>
      </c>
      <c r="J7" s="30" t="s">
        <v>89</v>
      </c>
    </row>
    <row r="8" customFormat="false" ht="39.75" hidden="false" customHeight="true" outlineLevel="0" collapsed="false">
      <c r="A8" s="7" t="n">
        <v>3</v>
      </c>
      <c r="B8" s="27" t="s">
        <v>90</v>
      </c>
      <c r="C8" s="7" t="s">
        <v>91</v>
      </c>
      <c r="D8" s="27" t="s">
        <v>92</v>
      </c>
      <c r="E8" s="27" t="s">
        <v>85</v>
      </c>
      <c r="F8" s="7" t="n">
        <v>4</v>
      </c>
      <c r="G8" s="7" t="n">
        <v>1</v>
      </c>
      <c r="H8" s="17" t="n">
        <f aca="false">'TỔNG HỢP'!$F$10</f>
        <v>990000</v>
      </c>
      <c r="I8" s="28" t="n">
        <f aca="false">G8*H8</f>
        <v>990000</v>
      </c>
      <c r="J8" s="27" t="s">
        <v>93</v>
      </c>
    </row>
    <row r="9" customFormat="false" ht="39.75" hidden="false" customHeight="true" outlineLevel="0" collapsed="false">
      <c r="A9" s="29" t="n">
        <v>4</v>
      </c>
      <c r="B9" s="30" t="s">
        <v>94</v>
      </c>
      <c r="C9" s="29" t="s">
        <v>95</v>
      </c>
      <c r="D9" s="30" t="s">
        <v>96</v>
      </c>
      <c r="E9" s="30" t="s">
        <v>97</v>
      </c>
      <c r="F9" s="29" t="n">
        <v>3</v>
      </c>
      <c r="G9" s="29" t="n">
        <v>1</v>
      </c>
      <c r="H9" s="31" t="n">
        <f aca="false">'TỔNG HỢP'!$F$9</f>
        <v>950000</v>
      </c>
      <c r="I9" s="32" t="n">
        <f aca="false">G9*H9</f>
        <v>950000</v>
      </c>
      <c r="J9" s="30" t="s">
        <v>98</v>
      </c>
    </row>
    <row r="10" customFormat="false" ht="39.75" hidden="false" customHeight="true" outlineLevel="0" collapsed="false">
      <c r="A10" s="7" t="n">
        <v>5</v>
      </c>
      <c r="B10" s="27" t="s">
        <v>99</v>
      </c>
      <c r="C10" s="7" t="s">
        <v>100</v>
      </c>
      <c r="D10" s="27" t="s">
        <v>101</v>
      </c>
      <c r="E10" s="27" t="s">
        <v>97</v>
      </c>
      <c r="F10" s="7" t="n">
        <v>3</v>
      </c>
      <c r="G10" s="7" t="n">
        <v>1</v>
      </c>
      <c r="H10" s="17" t="n">
        <f aca="false">'TỔNG HỢP'!$F$9</f>
        <v>950000</v>
      </c>
      <c r="I10" s="28" t="n">
        <f aca="false">G10*H10</f>
        <v>950000</v>
      </c>
      <c r="J10" s="27" t="s">
        <v>102</v>
      </c>
    </row>
    <row r="11" customFormat="false" ht="39.75" hidden="false" customHeight="true" outlineLevel="0" collapsed="false">
      <c r="A11" s="29" t="n">
        <v>6</v>
      </c>
      <c r="B11" s="30" t="s">
        <v>103</v>
      </c>
      <c r="C11" s="29" t="s">
        <v>100</v>
      </c>
      <c r="D11" s="30" t="s">
        <v>104</v>
      </c>
      <c r="E11" s="30" t="s">
        <v>97</v>
      </c>
      <c r="F11" s="29" t="n">
        <v>3</v>
      </c>
      <c r="G11" s="29" t="n">
        <v>1</v>
      </c>
      <c r="H11" s="31" t="n">
        <f aca="false">'TỔNG HỢP'!$F$9</f>
        <v>950000</v>
      </c>
      <c r="I11" s="32" t="n">
        <f aca="false">G11*H11</f>
        <v>950000</v>
      </c>
      <c r="J11" s="30" t="s">
        <v>105</v>
      </c>
    </row>
    <row r="12" customFormat="false" ht="15" hidden="false" customHeight="false" outlineLevel="0" collapsed="false">
      <c r="A12" s="33" t="s">
        <v>106</v>
      </c>
      <c r="B12" s="33"/>
      <c r="C12" s="33"/>
      <c r="D12" s="33"/>
      <c r="E12" s="33"/>
      <c r="F12" s="33"/>
      <c r="G12" s="14" t="n">
        <f aca="false">SUM(G6:G11)</f>
        <v>6</v>
      </c>
      <c r="H12" s="34"/>
      <c r="I12" s="35" t="n">
        <f aca="false">SUM(I6:I11)</f>
        <v>5820000</v>
      </c>
      <c r="J12" s="34"/>
    </row>
    <row r="14" customFormat="false" ht="19.5" hidden="false" customHeight="true" outlineLevel="0" collapsed="false">
      <c r="A14" s="36" t="s">
        <v>107</v>
      </c>
      <c r="B14" s="36"/>
      <c r="C14" s="36"/>
      <c r="D14" s="36"/>
      <c r="E14" s="36"/>
      <c r="F14" s="36"/>
      <c r="G14" s="36"/>
      <c r="H14" s="36"/>
      <c r="I14" s="36"/>
      <c r="J14" s="36"/>
    </row>
    <row r="15" customFormat="false" ht="27.75" hidden="false" customHeight="true" outlineLevel="0" collapsed="false">
      <c r="A15" s="37" t="s">
        <v>108</v>
      </c>
      <c r="B15" s="37" t="s">
        <v>37</v>
      </c>
      <c r="C15" s="37" t="s">
        <v>109</v>
      </c>
      <c r="D15" s="37" t="s">
        <v>81</v>
      </c>
      <c r="E15" s="37" t="s">
        <v>7</v>
      </c>
      <c r="F15" s="37" t="s">
        <v>110</v>
      </c>
      <c r="G15" s="37"/>
      <c r="H15" s="37"/>
      <c r="I15" s="37"/>
      <c r="J15" s="37" t="s">
        <v>9</v>
      </c>
    </row>
    <row r="16" customFormat="false" ht="15" hidden="false" customHeight="true" outlineLevel="0" collapsed="false">
      <c r="A16" s="7" t="s">
        <v>111</v>
      </c>
      <c r="B16" s="6" t="s">
        <v>83</v>
      </c>
      <c r="C16" s="6" t="s">
        <v>112</v>
      </c>
      <c r="D16" s="7" t="n">
        <v>8</v>
      </c>
      <c r="E16" s="7" t="s">
        <v>27</v>
      </c>
      <c r="F16" s="6" t="s">
        <v>113</v>
      </c>
      <c r="G16" s="6"/>
      <c r="H16" s="6"/>
      <c r="I16" s="6"/>
      <c r="J16" s="9"/>
    </row>
    <row r="17" customFormat="false" ht="23.85" hidden="false" customHeight="true" outlineLevel="0" collapsed="false">
      <c r="A17" s="7" t="s">
        <v>114</v>
      </c>
      <c r="B17" s="6" t="s">
        <v>83</v>
      </c>
      <c r="C17" s="6" t="s">
        <v>115</v>
      </c>
      <c r="D17" s="7" t="n">
        <v>6</v>
      </c>
      <c r="E17" s="7" t="s">
        <v>116</v>
      </c>
      <c r="F17" s="6" t="s">
        <v>117</v>
      </c>
      <c r="G17" s="6"/>
      <c r="H17" s="6"/>
      <c r="I17" s="6"/>
      <c r="J17" s="9" t="s">
        <v>118</v>
      </c>
    </row>
    <row r="18" customFormat="false" ht="23.85" hidden="false" customHeight="true" outlineLevel="0" collapsed="false">
      <c r="A18" s="7" t="s">
        <v>119</v>
      </c>
      <c r="B18" s="6" t="s">
        <v>83</v>
      </c>
      <c r="C18" s="6" t="s">
        <v>120</v>
      </c>
      <c r="D18" s="7" t="n">
        <v>4</v>
      </c>
      <c r="E18" s="7" t="s">
        <v>27</v>
      </c>
      <c r="F18" s="6" t="s">
        <v>121</v>
      </c>
      <c r="G18" s="6"/>
      <c r="H18" s="6"/>
      <c r="I18" s="6"/>
      <c r="J18" s="9"/>
    </row>
    <row r="19" customFormat="false" ht="23.85" hidden="false" customHeight="true" outlineLevel="0" collapsed="false">
      <c r="A19" s="7" t="s">
        <v>122</v>
      </c>
      <c r="B19" s="6" t="s">
        <v>123</v>
      </c>
      <c r="C19" s="6" t="s">
        <v>124</v>
      </c>
      <c r="D19" s="7" t="n">
        <v>4</v>
      </c>
      <c r="E19" s="7" t="s">
        <v>27</v>
      </c>
      <c r="F19" s="6" t="s">
        <v>125</v>
      </c>
      <c r="G19" s="6"/>
      <c r="H19" s="6"/>
      <c r="I19" s="6"/>
      <c r="J19" s="9"/>
    </row>
    <row r="20" customFormat="false" ht="23.85" hidden="false" customHeight="true" outlineLevel="0" collapsed="false">
      <c r="A20" s="7" t="s">
        <v>126</v>
      </c>
      <c r="B20" s="6" t="s">
        <v>91</v>
      </c>
      <c r="C20" s="6" t="s">
        <v>127</v>
      </c>
      <c r="D20" s="7" t="n">
        <v>8</v>
      </c>
      <c r="E20" s="7" t="s">
        <v>27</v>
      </c>
      <c r="F20" s="6" t="s">
        <v>128</v>
      </c>
      <c r="G20" s="6"/>
      <c r="H20" s="6"/>
      <c r="I20" s="6"/>
      <c r="J20" s="9"/>
    </row>
    <row r="21" customFormat="false" ht="23.85" hidden="false" customHeight="true" outlineLevel="0" collapsed="false">
      <c r="A21" s="7" t="s">
        <v>129</v>
      </c>
      <c r="B21" s="6" t="s">
        <v>130</v>
      </c>
      <c r="C21" s="6" t="s">
        <v>131</v>
      </c>
      <c r="D21" s="7" t="n">
        <v>2</v>
      </c>
      <c r="E21" s="7" t="s">
        <v>27</v>
      </c>
      <c r="F21" s="6" t="s">
        <v>132</v>
      </c>
      <c r="G21" s="6"/>
      <c r="H21" s="6"/>
      <c r="I21" s="6"/>
      <c r="J21" s="9"/>
    </row>
    <row r="22" customFormat="false" ht="15" hidden="false" customHeight="true" outlineLevel="0" collapsed="false">
      <c r="A22" s="7" t="s">
        <v>133</v>
      </c>
      <c r="B22" s="6" t="s">
        <v>134</v>
      </c>
      <c r="C22" s="6" t="s">
        <v>135</v>
      </c>
      <c r="D22" s="7" t="n">
        <v>2</v>
      </c>
      <c r="E22" s="7" t="s">
        <v>27</v>
      </c>
      <c r="F22" s="6" t="s">
        <v>136</v>
      </c>
      <c r="G22" s="6"/>
      <c r="H22" s="6"/>
      <c r="I22" s="6"/>
      <c r="J22" s="9" t="s">
        <v>137</v>
      </c>
    </row>
    <row r="23" customFormat="false" ht="35.05" hidden="false" customHeight="true" outlineLevel="0" collapsed="false">
      <c r="A23" s="7" t="s">
        <v>138</v>
      </c>
      <c r="B23" s="6" t="s">
        <v>139</v>
      </c>
      <c r="C23" s="6" t="s">
        <v>140</v>
      </c>
      <c r="D23" s="7" t="n">
        <v>3</v>
      </c>
      <c r="E23" s="7" t="s">
        <v>27</v>
      </c>
      <c r="F23" s="6" t="s">
        <v>141</v>
      </c>
      <c r="G23" s="6"/>
      <c r="H23" s="6"/>
      <c r="I23" s="6"/>
      <c r="J23" s="9"/>
    </row>
    <row r="24" customFormat="false" ht="15" hidden="false" customHeight="true" outlineLevel="0" collapsed="false">
      <c r="A24" s="7" t="s">
        <v>142</v>
      </c>
      <c r="B24" s="6" t="s">
        <v>95</v>
      </c>
      <c r="C24" s="6" t="s">
        <v>143</v>
      </c>
      <c r="D24" s="7" t="n">
        <v>2</v>
      </c>
      <c r="E24" s="7" t="s">
        <v>27</v>
      </c>
      <c r="F24" s="6" t="s">
        <v>144</v>
      </c>
      <c r="G24" s="6"/>
      <c r="H24" s="6"/>
      <c r="I24" s="6"/>
      <c r="J24" s="9"/>
    </row>
    <row r="25" customFormat="false" ht="15" hidden="false" customHeight="true" outlineLevel="0" collapsed="false">
      <c r="A25" s="7" t="s">
        <v>145</v>
      </c>
      <c r="B25" s="6" t="s">
        <v>95</v>
      </c>
      <c r="C25" s="6" t="s">
        <v>146</v>
      </c>
      <c r="D25" s="7" t="n">
        <v>1</v>
      </c>
      <c r="E25" s="7" t="s">
        <v>27</v>
      </c>
      <c r="F25" s="6" t="s">
        <v>147</v>
      </c>
      <c r="G25" s="6"/>
      <c r="H25" s="6"/>
      <c r="I25" s="6"/>
      <c r="J25" s="9"/>
    </row>
    <row r="26" customFormat="false" ht="15" hidden="false" customHeight="true" outlineLevel="0" collapsed="false">
      <c r="A26" s="7" t="s">
        <v>148</v>
      </c>
      <c r="B26" s="6" t="s">
        <v>95</v>
      </c>
      <c r="C26" s="6" t="s">
        <v>149</v>
      </c>
      <c r="D26" s="7" t="n">
        <v>1</v>
      </c>
      <c r="E26" s="7" t="s">
        <v>27</v>
      </c>
      <c r="F26" s="6" t="s">
        <v>150</v>
      </c>
      <c r="G26" s="6"/>
      <c r="H26" s="6"/>
      <c r="I26" s="6"/>
      <c r="J26" s="9"/>
    </row>
    <row r="27" customFormat="false" ht="15" hidden="false" customHeight="true" outlineLevel="0" collapsed="false">
      <c r="A27" s="7" t="s">
        <v>151</v>
      </c>
      <c r="B27" s="6" t="s">
        <v>100</v>
      </c>
      <c r="C27" s="6" t="s">
        <v>143</v>
      </c>
      <c r="D27" s="7" t="n">
        <v>6</v>
      </c>
      <c r="E27" s="7" t="s">
        <v>27</v>
      </c>
      <c r="F27" s="6" t="s">
        <v>152</v>
      </c>
      <c r="G27" s="6"/>
      <c r="H27" s="6"/>
      <c r="I27" s="6"/>
      <c r="J27" s="9"/>
    </row>
    <row r="28" customFormat="false" ht="23.85" hidden="false" customHeight="true" outlineLevel="0" collapsed="false">
      <c r="A28" s="7" t="s">
        <v>153</v>
      </c>
      <c r="B28" s="6" t="s">
        <v>100</v>
      </c>
      <c r="C28" s="6" t="s">
        <v>154</v>
      </c>
      <c r="D28" s="7" t="n">
        <v>2</v>
      </c>
      <c r="E28" s="7" t="s">
        <v>27</v>
      </c>
      <c r="F28" s="6" t="s">
        <v>155</v>
      </c>
      <c r="G28" s="6"/>
      <c r="H28" s="6"/>
      <c r="I28" s="6"/>
      <c r="J28" s="9"/>
    </row>
    <row r="29" customFormat="false" ht="15" hidden="false" customHeight="true" outlineLevel="0" collapsed="false">
      <c r="A29" s="7" t="s">
        <v>156</v>
      </c>
      <c r="B29" s="6" t="s">
        <v>100</v>
      </c>
      <c r="C29" s="6" t="s">
        <v>157</v>
      </c>
      <c r="D29" s="7" t="n">
        <v>1</v>
      </c>
      <c r="E29" s="7" t="s">
        <v>27</v>
      </c>
      <c r="F29" s="6" t="s">
        <v>158</v>
      </c>
      <c r="G29" s="6"/>
      <c r="H29" s="6"/>
      <c r="I29" s="6"/>
      <c r="J29" s="9"/>
    </row>
    <row r="30" customFormat="false" ht="23.85" hidden="false" customHeight="true" outlineLevel="0" collapsed="false">
      <c r="A30" s="7" t="s">
        <v>159</v>
      </c>
      <c r="B30" s="6" t="s">
        <v>160</v>
      </c>
      <c r="C30" s="6" t="s">
        <v>161</v>
      </c>
      <c r="D30" s="7" t="n">
        <v>2</v>
      </c>
      <c r="E30" s="7" t="s">
        <v>27</v>
      </c>
      <c r="F30" s="6" t="s">
        <v>162</v>
      </c>
      <c r="G30" s="6"/>
      <c r="H30" s="6"/>
      <c r="I30" s="6"/>
      <c r="J30" s="9" t="s">
        <v>163</v>
      </c>
    </row>
  </sheetData>
  <mergeCells count="21">
    <mergeCell ref="A1:J1"/>
    <mergeCell ref="A2:J2"/>
    <mergeCell ref="A4:J4"/>
    <mergeCell ref="A12:F12"/>
    <mergeCell ref="A14:J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30"/>
  </cols>
  <sheetData>
    <row r="1" customFormat="false" ht="24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165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3" t="s">
        <v>166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7.75" hidden="false" customHeight="true" outlineLevel="0" collapsed="false">
      <c r="A5" s="4" t="s">
        <v>48</v>
      </c>
      <c r="B5" s="4" t="s">
        <v>77</v>
      </c>
      <c r="C5" s="4" t="s">
        <v>37</v>
      </c>
      <c r="D5" s="4" t="s">
        <v>78</v>
      </c>
      <c r="E5" s="4" t="s">
        <v>79</v>
      </c>
      <c r="F5" s="4" t="s">
        <v>80</v>
      </c>
      <c r="G5" s="4" t="s">
        <v>81</v>
      </c>
      <c r="H5" s="4" t="s">
        <v>8</v>
      </c>
      <c r="I5" s="4" t="s">
        <v>50</v>
      </c>
      <c r="J5" s="4" t="s">
        <v>9</v>
      </c>
    </row>
    <row r="6" customFormat="false" ht="39.75" hidden="false" customHeight="true" outlineLevel="0" collapsed="false">
      <c r="A6" s="7" t="n">
        <v>1</v>
      </c>
      <c r="B6" s="27" t="s">
        <v>167</v>
      </c>
      <c r="C6" s="7" t="s">
        <v>168</v>
      </c>
      <c r="D6" s="27" t="s">
        <v>169</v>
      </c>
      <c r="E6" s="27" t="s">
        <v>170</v>
      </c>
      <c r="F6" s="7" t="n">
        <v>2</v>
      </c>
      <c r="G6" s="7" t="n">
        <v>1</v>
      </c>
      <c r="H6" s="17" t="n">
        <f aca="false">'TỔNG HỢP'!$F$8</f>
        <v>930000</v>
      </c>
      <c r="I6" s="28" t="n">
        <f aca="false">G6*H6</f>
        <v>930000</v>
      </c>
      <c r="J6" s="27" t="s">
        <v>171</v>
      </c>
    </row>
    <row r="7" customFormat="false" ht="39.75" hidden="false" customHeight="true" outlineLevel="0" collapsed="false">
      <c r="A7" s="29" t="n">
        <v>2</v>
      </c>
      <c r="B7" s="30" t="s">
        <v>172</v>
      </c>
      <c r="C7" s="29" t="s">
        <v>173</v>
      </c>
      <c r="D7" s="30" t="s">
        <v>174</v>
      </c>
      <c r="E7" s="30" t="s">
        <v>170</v>
      </c>
      <c r="F7" s="29" t="n">
        <v>2</v>
      </c>
      <c r="G7" s="29" t="n">
        <v>1</v>
      </c>
      <c r="H7" s="31" t="n">
        <f aca="false">'TỔNG HỢP'!$F$8</f>
        <v>930000</v>
      </c>
      <c r="I7" s="32" t="n">
        <f aca="false">G7*H7</f>
        <v>930000</v>
      </c>
      <c r="J7" s="30"/>
    </row>
    <row r="8" customFormat="false" ht="39.75" hidden="false" customHeight="true" outlineLevel="0" collapsed="false">
      <c r="A8" s="7" t="n">
        <v>3</v>
      </c>
      <c r="B8" s="27" t="s">
        <v>175</v>
      </c>
      <c r="C8" s="7" t="s">
        <v>176</v>
      </c>
      <c r="D8" s="27" t="s">
        <v>177</v>
      </c>
      <c r="E8" s="27" t="s">
        <v>170</v>
      </c>
      <c r="F8" s="7" t="n">
        <v>2</v>
      </c>
      <c r="G8" s="7" t="n">
        <v>1</v>
      </c>
      <c r="H8" s="17" t="n">
        <f aca="false">'TỔNG HỢP'!$F$8</f>
        <v>930000</v>
      </c>
      <c r="I8" s="28" t="n">
        <f aca="false">G8*H8</f>
        <v>930000</v>
      </c>
      <c r="J8" s="27" t="s">
        <v>178</v>
      </c>
    </row>
    <row r="9" customFormat="false" ht="39.75" hidden="false" customHeight="true" outlineLevel="0" collapsed="false">
      <c r="A9" s="29" t="n">
        <v>4</v>
      </c>
      <c r="B9" s="30" t="s">
        <v>179</v>
      </c>
      <c r="C9" s="29" t="s">
        <v>176</v>
      </c>
      <c r="D9" s="30" t="s">
        <v>180</v>
      </c>
      <c r="E9" s="30" t="s">
        <v>170</v>
      </c>
      <c r="F9" s="29" t="n">
        <v>2</v>
      </c>
      <c r="G9" s="29" t="n">
        <v>1</v>
      </c>
      <c r="H9" s="31" t="n">
        <f aca="false">'TỔNG HỢP'!$F$8</f>
        <v>930000</v>
      </c>
      <c r="I9" s="32" t="n">
        <f aca="false">G9*H9</f>
        <v>930000</v>
      </c>
      <c r="J9" s="30" t="s">
        <v>181</v>
      </c>
    </row>
    <row r="10" customFormat="false" ht="39.75" hidden="false" customHeight="true" outlineLevel="0" collapsed="false">
      <c r="A10" s="7" t="n">
        <v>5</v>
      </c>
      <c r="B10" s="27" t="s">
        <v>182</v>
      </c>
      <c r="C10" s="7" t="s">
        <v>183</v>
      </c>
      <c r="D10" s="27" t="s">
        <v>184</v>
      </c>
      <c r="E10" s="27" t="s">
        <v>85</v>
      </c>
      <c r="F10" s="7" t="n">
        <v>4</v>
      </c>
      <c r="G10" s="7" t="n">
        <v>1</v>
      </c>
      <c r="H10" s="17" t="n">
        <f aca="false">'TỔNG HỢP'!$F$10</f>
        <v>990000</v>
      </c>
      <c r="I10" s="28" t="n">
        <f aca="false">G10*H10</f>
        <v>990000</v>
      </c>
      <c r="J10" s="27" t="s">
        <v>102</v>
      </c>
    </row>
    <row r="11" customFormat="false" ht="39.75" hidden="false" customHeight="true" outlineLevel="0" collapsed="false">
      <c r="A11" s="29" t="n">
        <v>6</v>
      </c>
      <c r="B11" s="30" t="s">
        <v>185</v>
      </c>
      <c r="C11" s="29" t="s">
        <v>183</v>
      </c>
      <c r="D11" s="30" t="s">
        <v>186</v>
      </c>
      <c r="E11" s="30" t="s">
        <v>97</v>
      </c>
      <c r="F11" s="29" t="n">
        <v>3</v>
      </c>
      <c r="G11" s="29" t="n">
        <v>1</v>
      </c>
      <c r="H11" s="31" t="n">
        <f aca="false">'TỔNG HỢP'!$F$9</f>
        <v>950000</v>
      </c>
      <c r="I11" s="32" t="n">
        <f aca="false">G11*H11</f>
        <v>950000</v>
      </c>
      <c r="J11" s="30" t="s">
        <v>181</v>
      </c>
    </row>
    <row r="12" customFormat="false" ht="39.75" hidden="false" customHeight="true" outlineLevel="0" collapsed="false">
      <c r="A12" s="7" t="n">
        <v>7</v>
      </c>
      <c r="B12" s="27" t="s">
        <v>187</v>
      </c>
      <c r="C12" s="7" t="s">
        <v>188</v>
      </c>
      <c r="D12" s="27" t="s">
        <v>189</v>
      </c>
      <c r="E12" s="27" t="s">
        <v>85</v>
      </c>
      <c r="F12" s="7" t="n">
        <v>4</v>
      </c>
      <c r="G12" s="7" t="n">
        <v>1</v>
      </c>
      <c r="H12" s="17" t="n">
        <f aca="false">'TỔNG HỢP'!$F$10</f>
        <v>990000</v>
      </c>
      <c r="I12" s="28" t="n">
        <f aca="false">G12*H12</f>
        <v>990000</v>
      </c>
      <c r="J12" s="27" t="s">
        <v>102</v>
      </c>
    </row>
    <row r="13" customFormat="false" ht="39.75" hidden="false" customHeight="true" outlineLevel="0" collapsed="false">
      <c r="A13" s="29" t="n">
        <v>8</v>
      </c>
      <c r="B13" s="30" t="s">
        <v>190</v>
      </c>
      <c r="C13" s="29" t="s">
        <v>188</v>
      </c>
      <c r="D13" s="30" t="s">
        <v>191</v>
      </c>
      <c r="E13" s="30" t="s">
        <v>85</v>
      </c>
      <c r="F13" s="29" t="n">
        <v>4</v>
      </c>
      <c r="G13" s="29" t="n">
        <v>1</v>
      </c>
      <c r="H13" s="31" t="n">
        <f aca="false">'TỔNG HỢP'!$F$10</f>
        <v>990000</v>
      </c>
      <c r="I13" s="32" t="n">
        <f aca="false">G13*H13</f>
        <v>990000</v>
      </c>
      <c r="J13" s="30" t="s">
        <v>181</v>
      </c>
    </row>
    <row r="14" customFormat="false" ht="39.75" hidden="false" customHeight="true" outlineLevel="0" collapsed="false">
      <c r="A14" s="7" t="n">
        <v>9</v>
      </c>
      <c r="B14" s="27" t="s">
        <v>192</v>
      </c>
      <c r="C14" s="7" t="s">
        <v>193</v>
      </c>
      <c r="D14" s="27" t="s">
        <v>194</v>
      </c>
      <c r="E14" s="27" t="s">
        <v>170</v>
      </c>
      <c r="F14" s="7" t="n">
        <v>2</v>
      </c>
      <c r="G14" s="7" t="n">
        <v>1</v>
      </c>
      <c r="H14" s="17" t="n">
        <f aca="false">'TỔNG HỢP'!$F$8</f>
        <v>930000</v>
      </c>
      <c r="I14" s="28" t="n">
        <f aca="false">G14*H14</f>
        <v>930000</v>
      </c>
      <c r="J14" s="27" t="s">
        <v>195</v>
      </c>
    </row>
    <row r="15" customFormat="false" ht="39.75" hidden="false" customHeight="true" outlineLevel="0" collapsed="false">
      <c r="A15" s="29" t="n">
        <v>10</v>
      </c>
      <c r="B15" s="30" t="s">
        <v>196</v>
      </c>
      <c r="C15" s="29" t="s">
        <v>197</v>
      </c>
      <c r="D15" s="30" t="s">
        <v>198</v>
      </c>
      <c r="E15" s="30" t="s">
        <v>97</v>
      </c>
      <c r="F15" s="29" t="n">
        <v>3</v>
      </c>
      <c r="G15" s="29" t="n">
        <v>1</v>
      </c>
      <c r="H15" s="31" t="n">
        <f aca="false">'TỔNG HỢP'!$F$9</f>
        <v>950000</v>
      </c>
      <c r="I15" s="32" t="n">
        <f aca="false">G15*H15</f>
        <v>950000</v>
      </c>
      <c r="J15" s="30" t="s">
        <v>171</v>
      </c>
    </row>
    <row r="16" customFormat="false" ht="15" hidden="false" customHeight="false" outlineLevel="0" collapsed="false">
      <c r="A16" s="33" t="s">
        <v>199</v>
      </c>
      <c r="B16" s="33"/>
      <c r="C16" s="33"/>
      <c r="D16" s="33"/>
      <c r="E16" s="33"/>
      <c r="F16" s="33"/>
      <c r="G16" s="14" t="n">
        <f aca="false">SUM(G6:G15)</f>
        <v>10</v>
      </c>
      <c r="H16" s="34"/>
      <c r="I16" s="35" t="n">
        <f aca="false">SUM(I6:I15)</f>
        <v>9520000</v>
      </c>
      <c r="J16" s="34"/>
    </row>
    <row r="18" customFormat="false" ht="19.5" hidden="false" customHeight="true" outlineLevel="0" collapsed="false">
      <c r="A18" s="36" t="s">
        <v>200</v>
      </c>
      <c r="B18" s="36"/>
      <c r="C18" s="36"/>
      <c r="D18" s="36"/>
      <c r="E18" s="36"/>
      <c r="F18" s="36"/>
      <c r="G18" s="36"/>
      <c r="H18" s="36"/>
      <c r="I18" s="36"/>
      <c r="J18" s="36"/>
    </row>
    <row r="19" customFormat="false" ht="27.75" hidden="false" customHeight="true" outlineLevel="0" collapsed="false">
      <c r="A19" s="37" t="s">
        <v>108</v>
      </c>
      <c r="B19" s="37" t="s">
        <v>37</v>
      </c>
      <c r="C19" s="37" t="s">
        <v>109</v>
      </c>
      <c r="D19" s="37" t="s">
        <v>81</v>
      </c>
      <c r="E19" s="37" t="s">
        <v>7</v>
      </c>
      <c r="F19" s="37" t="s">
        <v>110</v>
      </c>
      <c r="G19" s="37"/>
      <c r="H19" s="37"/>
      <c r="I19" s="37"/>
      <c r="J19" s="37" t="s">
        <v>9</v>
      </c>
    </row>
    <row r="20" customFormat="false" ht="15" hidden="false" customHeight="true" outlineLevel="0" collapsed="false">
      <c r="A20" s="7" t="s">
        <v>201</v>
      </c>
      <c r="B20" s="6" t="s">
        <v>176</v>
      </c>
      <c r="C20" s="6" t="s">
        <v>143</v>
      </c>
      <c r="D20" s="7" t="n">
        <v>5</v>
      </c>
      <c r="E20" s="7" t="s">
        <v>27</v>
      </c>
      <c r="F20" s="6" t="s">
        <v>202</v>
      </c>
      <c r="G20" s="6"/>
      <c r="H20" s="6"/>
      <c r="I20" s="6"/>
      <c r="J20" s="9"/>
    </row>
    <row r="21" customFormat="false" ht="15" hidden="false" customHeight="true" outlineLevel="0" collapsed="false">
      <c r="A21" s="7" t="s">
        <v>203</v>
      </c>
      <c r="B21" s="6" t="s">
        <v>176</v>
      </c>
      <c r="C21" s="6" t="s">
        <v>204</v>
      </c>
      <c r="D21" s="7" t="n">
        <v>1</v>
      </c>
      <c r="E21" s="7" t="s">
        <v>27</v>
      </c>
      <c r="F21" s="6" t="s">
        <v>205</v>
      </c>
      <c r="G21" s="6"/>
      <c r="H21" s="6"/>
      <c r="I21" s="6"/>
      <c r="J21" s="9"/>
    </row>
    <row r="22" customFormat="false" ht="15" hidden="false" customHeight="true" outlineLevel="0" collapsed="false">
      <c r="A22" s="7" t="s">
        <v>206</v>
      </c>
      <c r="B22" s="6" t="s">
        <v>168</v>
      </c>
      <c r="C22" s="6" t="s">
        <v>143</v>
      </c>
      <c r="D22" s="7" t="n">
        <v>2</v>
      </c>
      <c r="E22" s="7" t="s">
        <v>27</v>
      </c>
      <c r="F22" s="6" t="s">
        <v>207</v>
      </c>
      <c r="G22" s="6"/>
      <c r="H22" s="6"/>
      <c r="I22" s="6"/>
      <c r="J22" s="9"/>
    </row>
    <row r="23" customFormat="false" ht="15" hidden="false" customHeight="true" outlineLevel="0" collapsed="false">
      <c r="A23" s="7" t="s">
        <v>208</v>
      </c>
      <c r="B23" s="6" t="s">
        <v>168</v>
      </c>
      <c r="C23" s="6" t="s">
        <v>146</v>
      </c>
      <c r="D23" s="7" t="n">
        <v>1</v>
      </c>
      <c r="E23" s="7" t="s">
        <v>27</v>
      </c>
      <c r="F23" s="6" t="s">
        <v>209</v>
      </c>
      <c r="G23" s="6"/>
      <c r="H23" s="6"/>
      <c r="I23" s="6"/>
      <c r="J23" s="9"/>
    </row>
    <row r="24" customFormat="false" ht="15" hidden="false" customHeight="true" outlineLevel="0" collapsed="false">
      <c r="A24" s="7" t="s">
        <v>210</v>
      </c>
      <c r="B24" s="6" t="s">
        <v>211</v>
      </c>
      <c r="C24" s="6" t="s">
        <v>212</v>
      </c>
      <c r="D24" s="7" t="n">
        <v>1</v>
      </c>
      <c r="E24" s="7" t="s">
        <v>27</v>
      </c>
      <c r="F24" s="6" t="s">
        <v>213</v>
      </c>
      <c r="G24" s="6"/>
      <c r="H24" s="6"/>
      <c r="I24" s="6"/>
      <c r="J24" s="9"/>
    </row>
    <row r="25" customFormat="false" ht="15" hidden="false" customHeight="true" outlineLevel="0" collapsed="false">
      <c r="A25" s="7" t="s">
        <v>214</v>
      </c>
      <c r="B25" s="6" t="s">
        <v>215</v>
      </c>
      <c r="C25" s="6" t="s">
        <v>212</v>
      </c>
      <c r="D25" s="7" t="n">
        <v>1</v>
      </c>
      <c r="E25" s="7" t="s">
        <v>27</v>
      </c>
      <c r="F25" s="6" t="s">
        <v>216</v>
      </c>
      <c r="G25" s="6"/>
      <c r="H25" s="6"/>
      <c r="I25" s="6"/>
      <c r="J25" s="9"/>
    </row>
    <row r="26" customFormat="false" ht="15" hidden="false" customHeight="true" outlineLevel="0" collapsed="false">
      <c r="A26" s="7" t="s">
        <v>217</v>
      </c>
      <c r="B26" s="6" t="s">
        <v>183</v>
      </c>
      <c r="C26" s="6" t="s">
        <v>143</v>
      </c>
      <c r="D26" s="7" t="n">
        <v>6</v>
      </c>
      <c r="E26" s="7" t="s">
        <v>27</v>
      </c>
      <c r="F26" s="6" t="s">
        <v>152</v>
      </c>
      <c r="G26" s="6"/>
      <c r="H26" s="6"/>
      <c r="I26" s="6"/>
      <c r="J26" s="9"/>
    </row>
    <row r="27" customFormat="false" ht="23.85" hidden="false" customHeight="true" outlineLevel="0" collapsed="false">
      <c r="A27" s="7" t="s">
        <v>218</v>
      </c>
      <c r="B27" s="6" t="s">
        <v>183</v>
      </c>
      <c r="C27" s="6" t="s">
        <v>219</v>
      </c>
      <c r="D27" s="7" t="n">
        <v>1</v>
      </c>
      <c r="E27" s="7" t="s">
        <v>220</v>
      </c>
      <c r="F27" s="6" t="s">
        <v>155</v>
      </c>
      <c r="G27" s="6"/>
      <c r="H27" s="6"/>
      <c r="I27" s="6"/>
      <c r="J27" s="9"/>
    </row>
    <row r="28" customFormat="false" ht="23.85" hidden="false" customHeight="true" outlineLevel="0" collapsed="false">
      <c r="A28" s="7" t="s">
        <v>221</v>
      </c>
      <c r="B28" s="6" t="s">
        <v>183</v>
      </c>
      <c r="C28" s="6" t="s">
        <v>222</v>
      </c>
      <c r="D28" s="7" t="n">
        <v>2</v>
      </c>
      <c r="E28" s="7" t="s">
        <v>27</v>
      </c>
      <c r="F28" s="6" t="s">
        <v>158</v>
      </c>
      <c r="G28" s="6"/>
      <c r="H28" s="6"/>
      <c r="I28" s="6"/>
      <c r="J28" s="9"/>
    </row>
    <row r="29" customFormat="false" ht="15" hidden="false" customHeight="true" outlineLevel="0" collapsed="false">
      <c r="A29" s="7" t="s">
        <v>223</v>
      </c>
      <c r="B29" s="6" t="s">
        <v>183</v>
      </c>
      <c r="C29" s="6" t="s">
        <v>224</v>
      </c>
      <c r="D29" s="7" t="n">
        <v>1</v>
      </c>
      <c r="E29" s="7" t="s">
        <v>27</v>
      </c>
      <c r="F29" s="6" t="s">
        <v>225</v>
      </c>
      <c r="G29" s="6"/>
      <c r="H29" s="6"/>
      <c r="I29" s="6"/>
      <c r="J29" s="9"/>
    </row>
    <row r="30" customFormat="false" ht="15" hidden="false" customHeight="true" outlineLevel="0" collapsed="false">
      <c r="A30" s="7" t="s">
        <v>226</v>
      </c>
      <c r="B30" s="6" t="s">
        <v>188</v>
      </c>
      <c r="C30" s="6" t="s">
        <v>143</v>
      </c>
      <c r="D30" s="7" t="n">
        <v>8</v>
      </c>
      <c r="E30" s="7" t="s">
        <v>27</v>
      </c>
      <c r="F30" s="6" t="s">
        <v>227</v>
      </c>
      <c r="G30" s="6"/>
      <c r="H30" s="6"/>
      <c r="I30" s="6"/>
      <c r="J30" s="9"/>
    </row>
    <row r="31" customFormat="false" ht="23.85" hidden="false" customHeight="true" outlineLevel="0" collapsed="false">
      <c r="A31" s="7" t="s">
        <v>228</v>
      </c>
      <c r="B31" s="6" t="s">
        <v>188</v>
      </c>
      <c r="C31" s="6" t="s">
        <v>229</v>
      </c>
      <c r="D31" s="7" t="n">
        <v>1</v>
      </c>
      <c r="E31" s="7" t="s">
        <v>220</v>
      </c>
      <c r="F31" s="6" t="s">
        <v>230</v>
      </c>
      <c r="G31" s="6"/>
      <c r="H31" s="6"/>
      <c r="I31" s="6"/>
      <c r="J31" s="9"/>
    </row>
    <row r="32" customFormat="false" ht="15" hidden="false" customHeight="true" outlineLevel="0" collapsed="false">
      <c r="A32" s="7" t="s">
        <v>231</v>
      </c>
      <c r="B32" s="6" t="s">
        <v>188</v>
      </c>
      <c r="C32" s="6" t="s">
        <v>232</v>
      </c>
      <c r="D32" s="7" t="n">
        <v>1</v>
      </c>
      <c r="E32" s="7" t="s">
        <v>27</v>
      </c>
      <c r="F32" s="6" t="s">
        <v>233</v>
      </c>
      <c r="G32" s="6"/>
      <c r="H32" s="6"/>
      <c r="I32" s="6"/>
      <c r="J32" s="9"/>
    </row>
    <row r="33" customFormat="false" ht="23.85" hidden="false" customHeight="true" outlineLevel="0" collapsed="false">
      <c r="A33" s="7" t="s">
        <v>234</v>
      </c>
      <c r="B33" s="6" t="s">
        <v>235</v>
      </c>
      <c r="C33" s="6" t="s">
        <v>236</v>
      </c>
      <c r="D33" s="7" t="n">
        <v>5</v>
      </c>
      <c r="E33" s="7" t="s">
        <v>27</v>
      </c>
      <c r="F33" s="6" t="s">
        <v>237</v>
      </c>
      <c r="G33" s="6"/>
      <c r="H33" s="6"/>
      <c r="I33" s="6"/>
      <c r="J33" s="9"/>
    </row>
    <row r="34" customFormat="false" ht="23.85" hidden="false" customHeight="true" outlineLevel="0" collapsed="false">
      <c r="A34" s="7" t="s">
        <v>238</v>
      </c>
      <c r="B34" s="6" t="s">
        <v>239</v>
      </c>
      <c r="C34" s="6" t="s">
        <v>240</v>
      </c>
      <c r="D34" s="7" t="n">
        <v>3</v>
      </c>
      <c r="E34" s="7" t="s">
        <v>27</v>
      </c>
      <c r="F34" s="6" t="s">
        <v>241</v>
      </c>
      <c r="G34" s="6"/>
      <c r="H34" s="6"/>
      <c r="I34" s="6"/>
      <c r="J34" s="9"/>
    </row>
    <row r="35" customFormat="false" ht="15" hidden="false" customHeight="true" outlineLevel="0" collapsed="false">
      <c r="A35" s="7" t="s">
        <v>242</v>
      </c>
      <c r="B35" s="6" t="s">
        <v>243</v>
      </c>
      <c r="C35" s="6" t="s">
        <v>244</v>
      </c>
      <c r="D35" s="7" t="n">
        <v>1</v>
      </c>
      <c r="E35" s="7" t="s">
        <v>27</v>
      </c>
      <c r="F35" s="6" t="s">
        <v>245</v>
      </c>
      <c r="G35" s="6"/>
      <c r="H35" s="6"/>
      <c r="I35" s="6"/>
      <c r="J35" s="9"/>
    </row>
    <row r="36" customFormat="false" ht="15" hidden="false" customHeight="true" outlineLevel="0" collapsed="false">
      <c r="A36" s="7" t="s">
        <v>246</v>
      </c>
      <c r="B36" s="6" t="s">
        <v>197</v>
      </c>
      <c r="C36" s="6" t="s">
        <v>143</v>
      </c>
      <c r="D36" s="7" t="n">
        <v>2</v>
      </c>
      <c r="E36" s="7" t="s">
        <v>27</v>
      </c>
      <c r="F36" s="6" t="s">
        <v>247</v>
      </c>
      <c r="G36" s="6"/>
      <c r="H36" s="6"/>
      <c r="I36" s="6"/>
      <c r="J36" s="9"/>
    </row>
    <row r="37" customFormat="false" ht="15" hidden="false" customHeight="true" outlineLevel="0" collapsed="false">
      <c r="A37" s="7" t="s">
        <v>248</v>
      </c>
      <c r="B37" s="6" t="s">
        <v>197</v>
      </c>
      <c r="C37" s="6" t="s">
        <v>149</v>
      </c>
      <c r="D37" s="7" t="n">
        <v>1</v>
      </c>
      <c r="E37" s="7" t="s">
        <v>27</v>
      </c>
      <c r="F37" s="6" t="s">
        <v>249</v>
      </c>
      <c r="G37" s="6"/>
      <c r="H37" s="6"/>
      <c r="I37" s="6"/>
      <c r="J37" s="9"/>
    </row>
    <row r="38" customFormat="false" ht="15" hidden="false" customHeight="true" outlineLevel="0" collapsed="false">
      <c r="A38" s="7" t="s">
        <v>250</v>
      </c>
      <c r="B38" s="6" t="s">
        <v>197</v>
      </c>
      <c r="C38" s="6" t="s">
        <v>146</v>
      </c>
      <c r="D38" s="7" t="n">
        <v>1</v>
      </c>
      <c r="E38" s="7" t="s">
        <v>27</v>
      </c>
      <c r="F38" s="6" t="s">
        <v>251</v>
      </c>
      <c r="G38" s="6"/>
      <c r="H38" s="6"/>
      <c r="I38" s="6"/>
      <c r="J38" s="9"/>
    </row>
  </sheetData>
  <mergeCells count="25">
    <mergeCell ref="A1:J1"/>
    <mergeCell ref="A2:J2"/>
    <mergeCell ref="A4:J4"/>
    <mergeCell ref="A16:F16"/>
    <mergeCell ref="A18:J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56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30"/>
  </cols>
  <sheetData>
    <row r="1" customFormat="false" ht="24" hidden="false" customHeight="true" outlineLevel="0" collapsed="false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253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3" t="s">
        <v>254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7.75" hidden="false" customHeight="true" outlineLevel="0" collapsed="false">
      <c r="A5" s="4" t="s">
        <v>48</v>
      </c>
      <c r="B5" s="4" t="s">
        <v>77</v>
      </c>
      <c r="C5" s="4" t="s">
        <v>37</v>
      </c>
      <c r="D5" s="4" t="s">
        <v>78</v>
      </c>
      <c r="E5" s="4" t="s">
        <v>79</v>
      </c>
      <c r="F5" s="4" t="s">
        <v>80</v>
      </c>
      <c r="G5" s="4" t="s">
        <v>81</v>
      </c>
      <c r="H5" s="4" t="s">
        <v>8</v>
      </c>
      <c r="I5" s="4" t="s">
        <v>50</v>
      </c>
      <c r="J5" s="4" t="s">
        <v>9</v>
      </c>
    </row>
    <row r="6" customFormat="false" ht="39.75" hidden="false" customHeight="true" outlineLevel="0" collapsed="false">
      <c r="A6" s="7" t="n">
        <v>1</v>
      </c>
      <c r="B6" s="27" t="s">
        <v>255</v>
      </c>
      <c r="C6" s="7" t="s">
        <v>256</v>
      </c>
      <c r="D6" s="27" t="s">
        <v>257</v>
      </c>
      <c r="E6" s="27" t="s">
        <v>97</v>
      </c>
      <c r="F6" s="7" t="n">
        <v>3</v>
      </c>
      <c r="G6" s="7" t="n">
        <v>1</v>
      </c>
      <c r="H6" s="17" t="n">
        <f aca="false">'TỔNG HỢP'!$F$9</f>
        <v>950000</v>
      </c>
      <c r="I6" s="28" t="n">
        <f aca="false">G6*H6</f>
        <v>950000</v>
      </c>
      <c r="J6" s="27" t="s">
        <v>258</v>
      </c>
    </row>
    <row r="7" customFormat="false" ht="39.75" hidden="false" customHeight="true" outlineLevel="0" collapsed="false">
      <c r="A7" s="29" t="n">
        <v>2</v>
      </c>
      <c r="B7" s="30" t="s">
        <v>259</v>
      </c>
      <c r="C7" s="29" t="s">
        <v>260</v>
      </c>
      <c r="D7" s="30" t="s">
        <v>261</v>
      </c>
      <c r="E7" s="30" t="s">
        <v>170</v>
      </c>
      <c r="F7" s="29" t="n">
        <v>2</v>
      </c>
      <c r="G7" s="29" t="n">
        <v>1</v>
      </c>
      <c r="H7" s="31" t="n">
        <f aca="false">'TỔNG HỢP'!$F$8</f>
        <v>930000</v>
      </c>
      <c r="I7" s="32" t="n">
        <f aca="false">G7*H7</f>
        <v>930000</v>
      </c>
      <c r="J7" s="30" t="s">
        <v>262</v>
      </c>
    </row>
    <row r="8" customFormat="false" ht="39.75" hidden="false" customHeight="true" outlineLevel="0" collapsed="false">
      <c r="A8" s="7" t="n">
        <v>3</v>
      </c>
      <c r="B8" s="27" t="s">
        <v>263</v>
      </c>
      <c r="C8" s="7" t="s">
        <v>264</v>
      </c>
      <c r="D8" s="27" t="s">
        <v>265</v>
      </c>
      <c r="E8" s="27" t="s">
        <v>97</v>
      </c>
      <c r="F8" s="7" t="n">
        <v>3</v>
      </c>
      <c r="G8" s="7" t="n">
        <v>1</v>
      </c>
      <c r="H8" s="17" t="n">
        <f aca="false">'TỔNG HỢP'!$F$9</f>
        <v>950000</v>
      </c>
      <c r="I8" s="28" t="n">
        <f aca="false">G8*H8</f>
        <v>950000</v>
      </c>
      <c r="J8" s="27"/>
    </row>
    <row r="9" customFormat="false" ht="39.75" hidden="false" customHeight="true" outlineLevel="0" collapsed="false">
      <c r="A9" s="29" t="n">
        <v>4</v>
      </c>
      <c r="B9" s="30" t="s">
        <v>266</v>
      </c>
      <c r="C9" s="29" t="s">
        <v>267</v>
      </c>
      <c r="D9" s="30" t="s">
        <v>268</v>
      </c>
      <c r="E9" s="30" t="s">
        <v>97</v>
      </c>
      <c r="F9" s="29" t="n">
        <v>3</v>
      </c>
      <c r="G9" s="29" t="n">
        <v>1</v>
      </c>
      <c r="H9" s="31" t="n">
        <f aca="false">'TỔNG HỢP'!$F$9</f>
        <v>950000</v>
      </c>
      <c r="I9" s="32" t="n">
        <f aca="false">G9*H9</f>
        <v>950000</v>
      </c>
      <c r="J9" s="30" t="s">
        <v>269</v>
      </c>
    </row>
    <row r="10" customFormat="false" ht="15" hidden="false" customHeight="false" outlineLevel="0" collapsed="false">
      <c r="A10" s="33" t="s">
        <v>270</v>
      </c>
      <c r="B10" s="33"/>
      <c r="C10" s="33"/>
      <c r="D10" s="33"/>
      <c r="E10" s="33"/>
      <c r="F10" s="33"/>
      <c r="G10" s="14" t="n">
        <f aca="false">SUM(G6:G9)</f>
        <v>4</v>
      </c>
      <c r="H10" s="34"/>
      <c r="I10" s="35" t="n">
        <f aca="false">SUM(I6:I9)</f>
        <v>3780000</v>
      </c>
      <c r="J10" s="34"/>
    </row>
    <row r="12" customFormat="false" ht="19.5" hidden="false" customHeight="true" outlineLevel="0" collapsed="false">
      <c r="A12" s="36" t="s">
        <v>271</v>
      </c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27.75" hidden="false" customHeight="true" outlineLevel="0" collapsed="false">
      <c r="A13" s="37" t="s">
        <v>108</v>
      </c>
      <c r="B13" s="37" t="s">
        <v>37</v>
      </c>
      <c r="C13" s="37" t="s">
        <v>109</v>
      </c>
      <c r="D13" s="37" t="s">
        <v>81</v>
      </c>
      <c r="E13" s="37" t="s">
        <v>7</v>
      </c>
      <c r="F13" s="37" t="s">
        <v>110</v>
      </c>
      <c r="G13" s="37"/>
      <c r="H13" s="37"/>
      <c r="I13" s="37"/>
      <c r="J13" s="37" t="s">
        <v>9</v>
      </c>
    </row>
    <row r="14" customFormat="false" ht="15" hidden="false" customHeight="true" outlineLevel="0" collapsed="false">
      <c r="A14" s="7" t="s">
        <v>272</v>
      </c>
      <c r="B14" s="6" t="s">
        <v>256</v>
      </c>
      <c r="C14" s="6" t="s">
        <v>143</v>
      </c>
      <c r="D14" s="7" t="n">
        <v>3</v>
      </c>
      <c r="E14" s="7" t="s">
        <v>27</v>
      </c>
      <c r="F14" s="6" t="s">
        <v>207</v>
      </c>
      <c r="G14" s="6"/>
      <c r="H14" s="6"/>
      <c r="I14" s="6"/>
      <c r="J14" s="9"/>
    </row>
    <row r="15" customFormat="false" ht="15" hidden="false" customHeight="true" outlineLevel="0" collapsed="false">
      <c r="A15" s="7" t="s">
        <v>273</v>
      </c>
      <c r="B15" s="6" t="s">
        <v>256</v>
      </c>
      <c r="C15" s="6" t="s">
        <v>274</v>
      </c>
      <c r="D15" s="7" t="n">
        <v>1</v>
      </c>
      <c r="E15" s="7" t="s">
        <v>27</v>
      </c>
      <c r="F15" s="6" t="s">
        <v>209</v>
      </c>
      <c r="G15" s="6"/>
      <c r="H15" s="6"/>
      <c r="I15" s="6"/>
      <c r="J15" s="9"/>
    </row>
    <row r="16" customFormat="false" ht="23.85" hidden="false" customHeight="true" outlineLevel="0" collapsed="false">
      <c r="A16" s="7" t="s">
        <v>238</v>
      </c>
      <c r="B16" s="6" t="s">
        <v>239</v>
      </c>
      <c r="C16" s="6" t="s">
        <v>275</v>
      </c>
      <c r="D16" s="7" t="n">
        <v>3</v>
      </c>
      <c r="E16" s="7" t="s">
        <v>27</v>
      </c>
      <c r="F16" s="6" t="s">
        <v>276</v>
      </c>
      <c r="G16" s="6"/>
      <c r="H16" s="6"/>
      <c r="I16" s="6"/>
      <c r="J16" s="9" t="s">
        <v>277</v>
      </c>
    </row>
    <row r="17" customFormat="false" ht="23.85" hidden="false" customHeight="true" outlineLevel="0" collapsed="false">
      <c r="A17" s="7" t="s">
        <v>278</v>
      </c>
      <c r="B17" s="6" t="s">
        <v>260</v>
      </c>
      <c r="C17" s="6" t="s">
        <v>279</v>
      </c>
      <c r="D17" s="7" t="n">
        <v>3</v>
      </c>
      <c r="E17" s="7" t="s">
        <v>27</v>
      </c>
      <c r="F17" s="6" t="s">
        <v>213</v>
      </c>
      <c r="G17" s="6"/>
      <c r="H17" s="6"/>
      <c r="I17" s="6"/>
      <c r="J17" s="9"/>
    </row>
    <row r="18" customFormat="false" ht="15" hidden="false" customHeight="true" outlineLevel="0" collapsed="false">
      <c r="A18" s="7" t="s">
        <v>280</v>
      </c>
      <c r="B18" s="6" t="s">
        <v>260</v>
      </c>
      <c r="C18" s="6" t="s">
        <v>143</v>
      </c>
      <c r="D18" s="7" t="n">
        <v>2</v>
      </c>
      <c r="E18" s="7" t="s">
        <v>27</v>
      </c>
      <c r="F18" s="6" t="s">
        <v>216</v>
      </c>
      <c r="G18" s="6"/>
      <c r="H18" s="6"/>
      <c r="I18" s="6"/>
      <c r="J18" s="9"/>
    </row>
    <row r="19" customFormat="false" ht="23.85" hidden="false" customHeight="true" outlineLevel="0" collapsed="false">
      <c r="A19" s="7" t="s">
        <v>281</v>
      </c>
      <c r="B19" s="6" t="s">
        <v>282</v>
      </c>
      <c r="C19" s="6" t="s">
        <v>283</v>
      </c>
      <c r="D19" s="7" t="n">
        <v>1</v>
      </c>
      <c r="E19" s="7" t="s">
        <v>27</v>
      </c>
      <c r="F19" s="6" t="s">
        <v>144</v>
      </c>
      <c r="G19" s="6"/>
      <c r="H19" s="6"/>
      <c r="I19" s="6"/>
      <c r="J19" s="9"/>
    </row>
    <row r="20" customFormat="false" ht="23.85" hidden="false" customHeight="true" outlineLevel="0" collapsed="false">
      <c r="A20" s="7" t="s">
        <v>284</v>
      </c>
      <c r="B20" s="6" t="s">
        <v>282</v>
      </c>
      <c r="C20" s="6" t="s">
        <v>285</v>
      </c>
      <c r="D20" s="7" t="n">
        <v>4</v>
      </c>
      <c r="E20" s="7" t="s">
        <v>27</v>
      </c>
      <c r="F20" s="6" t="s">
        <v>147</v>
      </c>
      <c r="G20" s="6"/>
      <c r="H20" s="6"/>
      <c r="I20" s="6"/>
      <c r="J20" s="9" t="s">
        <v>286</v>
      </c>
    </row>
    <row r="21" customFormat="false" ht="23.85" hidden="false" customHeight="true" outlineLevel="0" collapsed="false">
      <c r="A21" s="7" t="s">
        <v>287</v>
      </c>
      <c r="B21" s="6" t="s">
        <v>282</v>
      </c>
      <c r="C21" s="6" t="s">
        <v>288</v>
      </c>
      <c r="D21" s="7" t="n">
        <v>6</v>
      </c>
      <c r="E21" s="7" t="s">
        <v>27</v>
      </c>
      <c r="F21" s="6" t="s">
        <v>150</v>
      </c>
      <c r="G21" s="6"/>
      <c r="H21" s="6"/>
      <c r="I21" s="6"/>
      <c r="J21" s="9"/>
    </row>
    <row r="22" customFormat="false" ht="15" hidden="false" customHeight="true" outlineLevel="0" collapsed="false">
      <c r="A22" s="7" t="s">
        <v>289</v>
      </c>
      <c r="B22" s="6" t="s">
        <v>264</v>
      </c>
      <c r="C22" s="6" t="s">
        <v>143</v>
      </c>
      <c r="D22" s="7" t="n">
        <v>6</v>
      </c>
      <c r="E22" s="7" t="s">
        <v>27</v>
      </c>
      <c r="F22" s="6" t="s">
        <v>128</v>
      </c>
      <c r="G22" s="6"/>
      <c r="H22" s="6"/>
      <c r="I22" s="6"/>
      <c r="J22" s="9"/>
    </row>
    <row r="23" customFormat="false" ht="23.85" hidden="false" customHeight="true" outlineLevel="0" collapsed="false">
      <c r="A23" s="7" t="s">
        <v>290</v>
      </c>
      <c r="B23" s="6" t="s">
        <v>264</v>
      </c>
      <c r="C23" s="6" t="s">
        <v>291</v>
      </c>
      <c r="D23" s="7" t="n">
        <v>2</v>
      </c>
      <c r="E23" s="7" t="s">
        <v>27</v>
      </c>
      <c r="F23" s="6" t="s">
        <v>132</v>
      </c>
      <c r="G23" s="6"/>
      <c r="H23" s="6"/>
      <c r="I23" s="6"/>
      <c r="J23" s="9"/>
    </row>
    <row r="24" customFormat="false" ht="23.85" hidden="false" customHeight="true" outlineLevel="0" collapsed="false">
      <c r="A24" s="7" t="s">
        <v>292</v>
      </c>
      <c r="B24" s="6" t="s">
        <v>293</v>
      </c>
      <c r="C24" s="6" t="s">
        <v>294</v>
      </c>
      <c r="D24" s="7" t="n">
        <v>1</v>
      </c>
      <c r="E24" s="7" t="s">
        <v>27</v>
      </c>
      <c r="F24" s="6" t="s">
        <v>136</v>
      </c>
      <c r="G24" s="6"/>
      <c r="H24" s="6"/>
      <c r="I24" s="6"/>
      <c r="J24" s="9"/>
    </row>
  </sheetData>
  <mergeCells count="17">
    <mergeCell ref="A1:J1"/>
    <mergeCell ref="A2:J2"/>
    <mergeCell ref="A4:J4"/>
    <mergeCell ref="A10:F10"/>
    <mergeCell ref="A12:J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4" hidden="false" customHeight="true" outlineLevel="0" collapsed="false">
      <c r="A1" s="1" t="s">
        <v>295</v>
      </c>
      <c r="B1" s="1"/>
      <c r="C1" s="1"/>
      <c r="D1" s="1"/>
      <c r="E1" s="1"/>
      <c r="F1" s="1"/>
      <c r="G1" s="1"/>
    </row>
    <row r="3" customFormat="false" ht="19.5" hidden="false" customHeight="true" outlineLevel="0" collapsed="false">
      <c r="A3" s="3" t="s">
        <v>296</v>
      </c>
      <c r="B3" s="3"/>
      <c r="C3" s="3"/>
      <c r="D3" s="3"/>
      <c r="E3" s="3"/>
      <c r="F3" s="3"/>
      <c r="G3" s="3"/>
    </row>
    <row r="4" customFormat="false" ht="30" hidden="false" customHeight="true" outlineLevel="0" collapsed="false">
      <c r="A4" s="38" t="s">
        <v>297</v>
      </c>
      <c r="B4" s="39" t="s">
        <v>5</v>
      </c>
      <c r="C4" s="40" t="s">
        <v>298</v>
      </c>
      <c r="D4" s="40"/>
      <c r="E4" s="40"/>
      <c r="F4" s="40"/>
      <c r="G4" s="40"/>
    </row>
    <row r="5" customFormat="false" ht="30" hidden="false" customHeight="true" outlineLevel="0" collapsed="false">
      <c r="A5" s="38" t="s">
        <v>297</v>
      </c>
      <c r="B5" s="39" t="s">
        <v>299</v>
      </c>
      <c r="C5" s="40" t="s">
        <v>300</v>
      </c>
      <c r="D5" s="40"/>
      <c r="E5" s="40"/>
      <c r="F5" s="40"/>
      <c r="G5" s="40"/>
    </row>
    <row r="6" customFormat="false" ht="30" hidden="false" customHeight="true" outlineLevel="0" collapsed="false">
      <c r="A6" s="38" t="s">
        <v>297</v>
      </c>
      <c r="B6" s="39" t="s">
        <v>181</v>
      </c>
      <c r="C6" s="40" t="s">
        <v>301</v>
      </c>
      <c r="D6" s="40"/>
      <c r="E6" s="40"/>
      <c r="F6" s="40"/>
      <c r="G6" s="40"/>
    </row>
    <row r="7" customFormat="false" ht="30" hidden="false" customHeight="true" outlineLevel="0" collapsed="false">
      <c r="A7" s="38" t="s">
        <v>297</v>
      </c>
      <c r="B7" s="39" t="s">
        <v>302</v>
      </c>
      <c r="C7" s="40" t="s">
        <v>303</v>
      </c>
      <c r="D7" s="40"/>
      <c r="E7" s="40"/>
      <c r="F7" s="40"/>
      <c r="G7" s="40"/>
    </row>
    <row r="8" customFormat="false" ht="30" hidden="false" customHeight="true" outlineLevel="0" collapsed="false">
      <c r="A8" s="38" t="s">
        <v>297</v>
      </c>
      <c r="B8" s="39" t="s">
        <v>304</v>
      </c>
      <c r="C8" s="40" t="s">
        <v>305</v>
      </c>
      <c r="D8" s="40"/>
      <c r="E8" s="40"/>
      <c r="F8" s="40"/>
      <c r="G8" s="40"/>
    </row>
    <row r="10" customFormat="false" ht="19.5" hidden="false" customHeight="true" outlineLevel="0" collapsed="false">
      <c r="A10" s="3" t="s">
        <v>306</v>
      </c>
      <c r="B10" s="3"/>
      <c r="C10" s="3"/>
      <c r="D10" s="3"/>
      <c r="E10" s="3"/>
      <c r="F10" s="3"/>
      <c r="G10" s="3"/>
    </row>
    <row r="11" customFormat="false" ht="27.75" hidden="false" customHeight="true" outlineLevel="0" collapsed="false">
      <c r="A11" s="4" t="s">
        <v>48</v>
      </c>
      <c r="B11" s="4" t="s">
        <v>307</v>
      </c>
      <c r="C11" s="4" t="s">
        <v>308</v>
      </c>
      <c r="D11" s="4"/>
      <c r="E11" s="4"/>
      <c r="F11" s="4"/>
      <c r="G11" s="4" t="s">
        <v>309</v>
      </c>
    </row>
    <row r="12" customFormat="false" ht="25.5" hidden="false" customHeight="true" outlineLevel="0" collapsed="false">
      <c r="A12" s="15" t="n">
        <v>1</v>
      </c>
      <c r="B12" s="11" t="s">
        <v>310</v>
      </c>
      <c r="C12" s="27" t="s">
        <v>311</v>
      </c>
      <c r="D12" s="27"/>
      <c r="E12" s="27"/>
      <c r="F12" s="27"/>
      <c r="G12" s="6" t="s">
        <v>312</v>
      </c>
    </row>
    <row r="13" customFormat="false" ht="25.5" hidden="false" customHeight="true" outlineLevel="0" collapsed="false">
      <c r="A13" s="15" t="n">
        <v>2</v>
      </c>
      <c r="B13" s="11" t="s">
        <v>313</v>
      </c>
      <c r="C13" s="27" t="s">
        <v>314</v>
      </c>
      <c r="D13" s="27"/>
      <c r="E13" s="27"/>
      <c r="F13" s="27"/>
      <c r="G13" s="6" t="s">
        <v>315</v>
      </c>
    </row>
    <row r="14" customFormat="false" ht="25.5" hidden="false" customHeight="true" outlineLevel="0" collapsed="false">
      <c r="A14" s="15" t="n">
        <v>3</v>
      </c>
      <c r="B14" s="11" t="s">
        <v>316</v>
      </c>
      <c r="C14" s="27" t="s">
        <v>317</v>
      </c>
      <c r="D14" s="27"/>
      <c r="E14" s="27"/>
      <c r="F14" s="27"/>
      <c r="G14" s="6" t="s">
        <v>315</v>
      </c>
    </row>
    <row r="15" customFormat="false" ht="25.5" hidden="false" customHeight="true" outlineLevel="0" collapsed="false">
      <c r="A15" s="15" t="n">
        <v>4</v>
      </c>
      <c r="B15" s="11" t="s">
        <v>318</v>
      </c>
      <c r="C15" s="27" t="s">
        <v>319</v>
      </c>
      <c r="D15" s="27"/>
      <c r="E15" s="27"/>
      <c r="F15" s="27"/>
      <c r="G15" s="6" t="s">
        <v>320</v>
      </c>
    </row>
    <row r="16" customFormat="false" ht="25.5" hidden="false" customHeight="true" outlineLevel="0" collapsed="false">
      <c r="A16" s="15" t="n">
        <v>5</v>
      </c>
      <c r="B16" s="11" t="s">
        <v>321</v>
      </c>
      <c r="C16" s="27" t="s">
        <v>322</v>
      </c>
      <c r="D16" s="27"/>
      <c r="E16" s="27"/>
      <c r="F16" s="27"/>
      <c r="G16" s="6" t="s">
        <v>315</v>
      </c>
    </row>
    <row r="17" customFormat="false" ht="25.5" hidden="false" customHeight="true" outlineLevel="0" collapsed="false">
      <c r="A17" s="15" t="n">
        <v>6</v>
      </c>
      <c r="B17" s="11" t="s">
        <v>323</v>
      </c>
      <c r="C17" s="27" t="s">
        <v>324</v>
      </c>
      <c r="D17" s="27"/>
      <c r="E17" s="27"/>
      <c r="F17" s="27"/>
      <c r="G17" s="6" t="s">
        <v>325</v>
      </c>
    </row>
    <row r="18" customFormat="false" ht="25.5" hidden="false" customHeight="true" outlineLevel="0" collapsed="false">
      <c r="A18" s="15" t="n">
        <v>7</v>
      </c>
      <c r="B18" s="11" t="s">
        <v>326</v>
      </c>
      <c r="C18" s="27" t="s">
        <v>327</v>
      </c>
      <c r="D18" s="27"/>
      <c r="E18" s="27"/>
      <c r="F18" s="27"/>
      <c r="G18" s="6" t="s">
        <v>315</v>
      </c>
    </row>
    <row r="19" customFormat="false" ht="25.5" hidden="false" customHeight="true" outlineLevel="0" collapsed="false">
      <c r="A19" s="15" t="n">
        <v>8</v>
      </c>
      <c r="B19" s="11" t="s">
        <v>328</v>
      </c>
      <c r="C19" s="27" t="s">
        <v>329</v>
      </c>
      <c r="D19" s="27"/>
      <c r="E19" s="27"/>
      <c r="F19" s="27"/>
      <c r="G19" s="6" t="s">
        <v>330</v>
      </c>
    </row>
    <row r="21" customFormat="false" ht="19.5" hidden="false" customHeight="true" outlineLevel="0" collapsed="false">
      <c r="A21" s="3" t="s">
        <v>331</v>
      </c>
      <c r="B21" s="3"/>
      <c r="C21" s="3"/>
      <c r="D21" s="3"/>
      <c r="E21" s="3"/>
      <c r="F21" s="3"/>
      <c r="G21" s="3"/>
    </row>
    <row r="22" customFormat="false" ht="27.75" hidden="false" customHeight="true" outlineLevel="0" collapsed="false">
      <c r="A22" s="4" t="s">
        <v>48</v>
      </c>
      <c r="B22" s="4" t="s">
        <v>5</v>
      </c>
      <c r="C22" s="4" t="s">
        <v>332</v>
      </c>
      <c r="D22" s="4" t="s">
        <v>7</v>
      </c>
      <c r="E22" s="4" t="s">
        <v>81</v>
      </c>
      <c r="F22" s="4" t="s">
        <v>8</v>
      </c>
      <c r="G22" s="4" t="s">
        <v>50</v>
      </c>
    </row>
    <row r="23" customFormat="false" ht="15" hidden="false" customHeight="false" outlineLevel="0" collapsed="false">
      <c r="A23" s="15" t="n">
        <v>1</v>
      </c>
      <c r="B23" s="6" t="s">
        <v>333</v>
      </c>
      <c r="C23" s="6" t="s">
        <v>334</v>
      </c>
      <c r="D23" s="15" t="s">
        <v>13</v>
      </c>
      <c r="E23" s="41" t="n">
        <v>3</v>
      </c>
      <c r="F23" s="17" t="n">
        <f aca="false">'TỔNG HỢP'!$F$12</f>
        <v>455000</v>
      </c>
      <c r="G23" s="20" t="n">
        <f aca="false">E23*F23</f>
        <v>1365000</v>
      </c>
    </row>
    <row r="24" customFormat="false" ht="15" hidden="false" customHeight="false" outlineLevel="0" collapsed="false">
      <c r="A24" s="15" t="n">
        <v>2</v>
      </c>
      <c r="B24" s="6" t="s">
        <v>335</v>
      </c>
      <c r="C24" s="6" t="s">
        <v>336</v>
      </c>
      <c r="D24" s="15" t="s">
        <v>13</v>
      </c>
      <c r="E24" s="41" t="n">
        <v>2</v>
      </c>
      <c r="F24" s="17" t="n">
        <f aca="false">'TỔNG HỢP'!$F$13</f>
        <v>850000</v>
      </c>
      <c r="G24" s="20" t="n">
        <f aca="false">E24*F24</f>
        <v>1700000</v>
      </c>
    </row>
    <row r="25" customFormat="false" ht="15" hidden="false" customHeight="false" outlineLevel="0" collapsed="false">
      <c r="A25" s="33" t="s">
        <v>337</v>
      </c>
      <c r="B25" s="33"/>
      <c r="C25" s="33"/>
      <c r="D25" s="33"/>
      <c r="E25" s="33"/>
      <c r="F25" s="33"/>
      <c r="G25" s="35" t="n">
        <f aca="false">SUM(G23:G24)</f>
        <v>3065000</v>
      </c>
    </row>
  </sheetData>
  <mergeCells count="18">
    <mergeCell ref="A1:G1"/>
    <mergeCell ref="A3:G3"/>
    <mergeCell ref="C4:G4"/>
    <mergeCell ref="C5:G5"/>
    <mergeCell ref="C6:G6"/>
    <mergeCell ref="C7:G7"/>
    <mergeCell ref="C8:G8"/>
    <mergeCell ref="A10:G10"/>
    <mergeCell ref="C12:F12"/>
    <mergeCell ref="C13:F13"/>
    <mergeCell ref="C14:F14"/>
    <mergeCell ref="C15:F15"/>
    <mergeCell ref="C16:F16"/>
    <mergeCell ref="C17:F17"/>
    <mergeCell ref="C18:F18"/>
    <mergeCell ref="C19:F19"/>
    <mergeCell ref="A21:G21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2026-09-13T10:20:46Z</dcterms:created>
  <dc:creator>openpyxl</dc:creator>
  <dc:description/>
  <dc:language>en-US</dc:language>
  <cp:lastModifiedBy/>
  <dcterms:modified xsi:type="dcterms:W3CDTF">2026-09-13T10:28:36Z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